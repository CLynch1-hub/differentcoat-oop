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530" codeName="{DD97A8EA-9A9A-E61F-A557-7D5A7D7259CE}"/>
  <workbookPr codeName="ThisWorkbook"/>
  <mc:AlternateContent xmlns:mc="http://schemas.openxmlformats.org/markup-compatibility/2006">
    <mc:Choice Requires="x15">
      <x15ac:absPath xmlns:x15ac="http://schemas.microsoft.com/office/spreadsheetml/2010/11/ac" url="C:\Users\Ciaran Lynch\Desktop\Education Courses\NWRC\Java OOP\OOP Assignment\Files for Assignment - OOP\"/>
    </mc:Choice>
  </mc:AlternateContent>
  <xr:revisionPtr revIDLastSave="0" documentId="13_ncr:1_{91578CC8-B40B-485A-AB8A-5CE18E918D85}" xr6:coauthVersionLast="47" xr6:coauthVersionMax="47" xr10:uidLastSave="{00000000-0000-0000-0000-000000000000}"/>
  <bookViews>
    <workbookView xWindow="-120" yWindow="-120" windowWidth="29040" windowHeight="15840" firstSheet="1" activeTab="1" xr2:uid="{00000000-000D-0000-FFFF-FFFF00000000}"/>
  </bookViews>
  <sheets>
    <sheet name="Risk Based Assessment" sheetId="7" state="hidden" r:id="rId1"/>
    <sheet name="Test Plan Customer Details" sheetId="1" r:id="rId2"/>
    <sheet name="Test Plan Trade Customer Detail" sheetId="11" r:id="rId3"/>
    <sheet name="Test Plan General Customer" sheetId="12" r:id="rId4"/>
    <sheet name="Test Plan Calculation" sheetId="8" state="hidden" r:id="rId5"/>
    <sheet name="Test Plan for Constants Class" sheetId="10" r:id="rId6"/>
    <sheet name="Test Plan For Imports" sheetId="13" r:id="rId7"/>
    <sheet name="Defect Report" sheetId="4" r:id="rId8"/>
    <sheet name="Screenshots" sheetId="6" r:id="rId9"/>
    <sheet name="Calculate Conditions" sheetId="2" state="hidden" r:id="rId10"/>
    <sheet name="Categories" sheetId="3" state="hidden" r:id="rId11"/>
  </sheets>
  <definedNames>
    <definedName name="Delivery_Cost_Discount">'Calculate Conditions'!#REF!</definedName>
    <definedName name="Delivery_Threshold">Categories!#REF!</definedName>
    <definedName name="Discount">'Calculate Conditions'!#REF!</definedName>
    <definedName name="Existing_Customer">'Calculate Conditions'!#REF!</definedName>
    <definedName name="PricePerSQMetre">'Calculate Conditions'!#REF!</definedName>
    <definedName name="SquareMetres">'Calculate Conditions'!#REF!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 i="13" l="1"/>
  <c r="E6" i="13"/>
  <c r="I5" i="13"/>
  <c r="E5" i="13"/>
  <c r="K3" i="13"/>
  <c r="I3" i="13"/>
  <c r="I2" i="13"/>
  <c r="I8" i="12"/>
  <c r="E8" i="12"/>
  <c r="I7" i="12"/>
  <c r="E7" i="12"/>
  <c r="I6" i="12"/>
  <c r="E6" i="12"/>
  <c r="I5" i="12"/>
  <c r="E5" i="12"/>
  <c r="K3" i="12"/>
  <c r="I3" i="12"/>
  <c r="I2" i="12"/>
  <c r="I6" i="11"/>
  <c r="E6" i="11"/>
  <c r="I5" i="11"/>
  <c r="E5" i="11"/>
  <c r="K3" i="11"/>
  <c r="I3" i="11"/>
  <c r="I2" i="11"/>
  <c r="E8" i="10"/>
  <c r="I8" i="10"/>
  <c r="E7" i="10"/>
  <c r="I7" i="10"/>
  <c r="E6" i="10"/>
  <c r="I6" i="10"/>
  <c r="I5" i="10"/>
  <c r="E5" i="10"/>
  <c r="K3" i="10"/>
  <c r="I3" i="10"/>
  <c r="I2" i="10"/>
  <c r="E13" i="1"/>
  <c r="E14" i="1"/>
  <c r="E15" i="1"/>
  <c r="E16" i="1"/>
  <c r="E17" i="1"/>
  <c r="E18" i="1"/>
  <c r="I13" i="1"/>
  <c r="I14" i="1"/>
  <c r="I15" i="1"/>
  <c r="I16" i="1"/>
  <c r="I17" i="1"/>
  <c r="I18" i="1"/>
  <c r="E6" i="1"/>
  <c r="E7" i="1"/>
  <c r="E8" i="1"/>
  <c r="E9" i="1"/>
  <c r="E10" i="1"/>
  <c r="E11" i="1"/>
  <c r="I6" i="1"/>
  <c r="I7" i="1"/>
  <c r="I8" i="1"/>
  <c r="I9" i="1"/>
  <c r="I10" i="1"/>
  <c r="I11" i="1"/>
  <c r="E12" i="1"/>
  <c r="E5" i="1"/>
  <c r="I9" i="8"/>
  <c r="I8" i="8"/>
  <c r="I7" i="8"/>
  <c r="H7" i="8"/>
  <c r="I6" i="8"/>
  <c r="H6" i="8"/>
  <c r="I5" i="8"/>
  <c r="H5" i="8"/>
  <c r="K3" i="8"/>
  <c r="I3" i="8"/>
  <c r="I2" i="8"/>
  <c r="K3" i="1"/>
  <c r="I3" i="1"/>
  <c r="I2" i="1"/>
  <c r="I5" i="1" l="1"/>
  <c r="I12" i="1"/>
  <c r="F2" i="4"/>
  <c r="Q7" i="2" l="1"/>
  <c r="Q8" i="2"/>
  <c r="Q9" i="2"/>
  <c r="Q10" i="2"/>
  <c r="Q11" i="2"/>
  <c r="Q12" i="2"/>
  <c r="Q13" i="2"/>
  <c r="Q14" i="2"/>
  <c r="P3" i="2"/>
  <c r="P4" i="2"/>
  <c r="P5" i="2"/>
  <c r="P6" i="2"/>
  <c r="P7" i="2"/>
  <c r="P8" i="2"/>
  <c r="P9" i="2"/>
  <c r="P10" i="2"/>
  <c r="P11" i="2"/>
  <c r="P12" i="2"/>
  <c r="P13" i="2"/>
  <c r="P14" i="2"/>
  <c r="P2" i="2"/>
  <c r="G2" i="2"/>
  <c r="G3" i="2"/>
  <c r="G4" i="2"/>
  <c r="G5" i="2"/>
  <c r="G6" i="2"/>
  <c r="G7" i="2"/>
  <c r="G8" i="2"/>
  <c r="G9" i="2"/>
  <c r="G10" i="2"/>
  <c r="G11" i="2"/>
  <c r="G12" i="2"/>
  <c r="G13" i="2"/>
  <c r="G14" i="2"/>
  <c r="I14" i="2"/>
  <c r="L14" i="2"/>
  <c r="N14" i="2"/>
  <c r="I13" i="2"/>
  <c r="L13" i="2"/>
  <c r="N13" i="2"/>
  <c r="I12" i="2"/>
  <c r="L12" i="2"/>
  <c r="N12" i="2"/>
  <c r="I11" i="2"/>
  <c r="L11" i="2"/>
  <c r="N11" i="2"/>
  <c r="N2" i="2"/>
  <c r="N3" i="2"/>
  <c r="N4" i="2"/>
  <c r="N5" i="2"/>
  <c r="N6" i="2"/>
  <c r="N7" i="2"/>
  <c r="N8" i="2"/>
  <c r="N9" i="2"/>
  <c r="N10" i="2"/>
  <c r="L2" i="2"/>
  <c r="L3" i="2"/>
  <c r="L4" i="2"/>
  <c r="L5" i="2"/>
  <c r="L6" i="2"/>
  <c r="L7" i="2"/>
  <c r="L8" i="2"/>
  <c r="L9" i="2"/>
  <c r="L10" i="2"/>
  <c r="I3" i="2"/>
  <c r="I4" i="2"/>
  <c r="I5" i="2"/>
  <c r="I6" i="2"/>
  <c r="I7" i="2"/>
  <c r="I8" i="2"/>
  <c r="I9" i="2"/>
  <c r="I10" i="2"/>
  <c r="I2" i="2"/>
  <c r="C6" i="3"/>
  <c r="B6" i="3"/>
  <c r="C4" i="3"/>
  <c r="C3" i="3"/>
  <c r="J12" i="2" l="1"/>
  <c r="K12" i="2" s="1"/>
  <c r="J11" i="2"/>
  <c r="K11" i="2" s="1"/>
  <c r="J3" i="2"/>
  <c r="K3" i="2" s="1"/>
  <c r="J14" i="2"/>
  <c r="K14" i="2" s="1"/>
  <c r="J4" i="2"/>
  <c r="K4" i="2" s="1"/>
  <c r="J13" i="2"/>
  <c r="K13" i="2" s="1"/>
  <c r="M12" i="2"/>
  <c r="J7" i="2"/>
  <c r="K7" i="2" s="1"/>
  <c r="J6" i="2"/>
  <c r="K6" i="2" s="1"/>
  <c r="J10" i="2"/>
  <c r="K10" i="2" s="1"/>
  <c r="J9" i="2"/>
  <c r="K9" i="2" s="1"/>
  <c r="J8" i="2"/>
  <c r="K8" i="2" s="1"/>
  <c r="J5" i="2"/>
  <c r="K5" i="2" s="1"/>
  <c r="J2" i="2"/>
  <c r="K2" i="2" s="1"/>
  <c r="O12" i="2" l="1"/>
  <c r="M14" i="2"/>
  <c r="O14" i="2" s="1"/>
  <c r="M11" i="2"/>
  <c r="M13" i="2"/>
  <c r="M3" i="2"/>
  <c r="O3" i="2" s="1"/>
  <c r="Q3" i="2" s="1"/>
  <c r="M6" i="2"/>
  <c r="O6" i="2" s="1"/>
  <c r="Q6" i="2" s="1"/>
  <c r="M9" i="2"/>
  <c r="O9" i="2" s="1"/>
  <c r="M7" i="2"/>
  <c r="O7" i="2" s="1"/>
  <c r="M10" i="2"/>
  <c r="O10" i="2" s="1"/>
  <c r="M5" i="2"/>
  <c r="O5" i="2" s="1"/>
  <c r="Q5" i="2" s="1"/>
  <c r="M8" i="2"/>
  <c r="O8" i="2" s="1"/>
  <c r="M4" i="2"/>
  <c r="O4" i="2" s="1"/>
  <c r="Q4" i="2" s="1"/>
  <c r="M2" i="2"/>
  <c r="O2" i="2" s="1"/>
  <c r="Q2" i="2" l="1"/>
  <c r="O11" i="2"/>
  <c r="O13" i="2"/>
</calcChain>
</file>

<file path=xl/sharedStrings.xml><?xml version="1.0" encoding="utf-8"?>
<sst xmlns="http://schemas.openxmlformats.org/spreadsheetml/2006/main" count="477" uniqueCount="227">
  <si>
    <t>Test Plan</t>
  </si>
  <si>
    <t>Test Log</t>
  </si>
  <si>
    <t>Version No: 1.0</t>
  </si>
  <si>
    <t>Page No: 1</t>
  </si>
  <si>
    <t>Module Name:</t>
  </si>
  <si>
    <t>Test No</t>
  </si>
  <si>
    <t>Date</t>
  </si>
  <si>
    <t>Input/filename/SQL Query</t>
  </si>
  <si>
    <t xml:space="preserve">Expected output </t>
  </si>
  <si>
    <t>Actual Output</t>
  </si>
  <si>
    <t>System/Program Name:</t>
  </si>
  <si>
    <t>Purpose/Type of test
Test Condition</t>
  </si>
  <si>
    <t>PT</t>
  </si>
  <si>
    <t>NT</t>
  </si>
  <si>
    <t xml:space="preserve">Feature Name: </t>
  </si>
  <si>
    <t xml:space="preserve">Tester name: </t>
  </si>
  <si>
    <t>TT</t>
  </si>
  <si>
    <t>NA</t>
  </si>
  <si>
    <t>Severity</t>
  </si>
  <si>
    <t>Backlog</t>
  </si>
  <si>
    <t xml:space="preserve">System/Program Name: </t>
  </si>
  <si>
    <t>Full membership is £400 for the year and includes all the facilities for people in the age bracket of 18 to 40. Thereafter, full membership decreases by 20% for the following age group 41 to 80.</t>
  </si>
  <si>
    <t>Country membership is £200 for the year for all ages as long as no more than 40 visits in the year are made. If more are made then an extra £20 is added.</t>
  </si>
  <si>
    <t>Day membership is £275 for the year for people in the age bracket of 18 to 40. Thereafter, membership decreases by 15% for the following age group 41 to 80.</t>
  </si>
  <si>
    <t>The monthly fee is calculated by dividing the membership fee by duration i.e. no of months subscribed plus a registration fee of £5.</t>
  </si>
  <si>
    <t>If any other member of family is a member then an additional 5% discount is applied.</t>
  </si>
  <si>
    <t>Membership</t>
  </si>
  <si>
    <t>Correctness of Membership Type Drop Down Box selected</t>
  </si>
  <si>
    <t>Correctness of Membership Duration Drop Down Box selected</t>
  </si>
  <si>
    <t>Correctness of Check Box Family Member</t>
  </si>
  <si>
    <t>Full</t>
  </si>
  <si>
    <t>Day</t>
  </si>
  <si>
    <t>Country</t>
  </si>
  <si>
    <t>18-40</t>
  </si>
  <si>
    <t>41 -80</t>
  </si>
  <si>
    <t>Discount</t>
  </si>
  <si>
    <t>Registration Fee</t>
  </si>
  <si>
    <t>MonthlyDuration</t>
  </si>
  <si>
    <t>Age</t>
  </si>
  <si>
    <t>Country Member Max Visits</t>
  </si>
  <si>
    <t>Country &gt; 40</t>
  </si>
  <si>
    <t>Family</t>
  </si>
  <si>
    <t>Full Member &gt; 40</t>
  </si>
  <si>
    <t>Discount Type</t>
  </si>
  <si>
    <t>Day Member &gt; 40</t>
  </si>
  <si>
    <t>AgeRange</t>
  </si>
  <si>
    <t>41-80</t>
  </si>
  <si>
    <t>Exceed Max Visist Cost</t>
  </si>
  <si>
    <t>Country_Member_ Charge</t>
  </si>
  <si>
    <t>Membership_Type</t>
  </si>
  <si>
    <t>Age_Range</t>
  </si>
  <si>
    <t>Family_Discount_Due</t>
  </si>
  <si>
    <t>Family_Discount_Applied</t>
  </si>
  <si>
    <t>Registration_Fee</t>
  </si>
  <si>
    <t>Monthly_Duration</t>
  </si>
  <si>
    <t>Is Button displayed</t>
  </si>
  <si>
    <t>Is Button enabled</t>
  </si>
  <si>
    <t>Is Text correct</t>
  </si>
  <si>
    <t>Calculate Conditions</t>
  </si>
  <si>
    <t>Correctness of Calculate Button Functionality</t>
  </si>
  <si>
    <t>Age_Discount_Due%</t>
  </si>
  <si>
    <t>Family Member</t>
  </si>
  <si>
    <t>Yes</t>
  </si>
  <si>
    <t>No</t>
  </si>
  <si>
    <t>Family_Member?</t>
  </si>
  <si>
    <t>Test_No</t>
  </si>
  <si>
    <t>Member_Visits</t>
  </si>
  <si>
    <t>Rate_Due</t>
  </si>
  <si>
    <t>Age_Discount_Applied</t>
  </si>
  <si>
    <t>Yearly_Cost</t>
  </si>
  <si>
    <t>Basic_Membership_Cost</t>
  </si>
  <si>
    <t>Payment_Method</t>
  </si>
  <si>
    <t>Payment Method</t>
  </si>
  <si>
    <t>Up Front</t>
  </si>
  <si>
    <t>Monthly Installments</t>
  </si>
  <si>
    <t>Monthly_Charge</t>
  </si>
  <si>
    <t>Non Functional</t>
  </si>
  <si>
    <t>* For exam stick to 1 Age range and 1 price range for initial tests*</t>
  </si>
  <si>
    <t>Functional / Non Functional</t>
  </si>
  <si>
    <t>Functional</t>
  </si>
  <si>
    <t>Very Severe</t>
  </si>
  <si>
    <t>Severe</t>
  </si>
  <si>
    <t>Important issue</t>
  </si>
  <si>
    <t>Test Severity No</t>
  </si>
  <si>
    <t>Not Severe</t>
  </si>
  <si>
    <t>Least Severity</t>
  </si>
  <si>
    <t>Correctness of the age number added to Drop Down Box</t>
  </si>
  <si>
    <t>See Conditions Tab</t>
  </si>
  <si>
    <t>Test Sub Category No</t>
  </si>
  <si>
    <t>Test Passed</t>
  </si>
  <si>
    <t>Test Failed</t>
  </si>
  <si>
    <t>Input Accepted</t>
  </si>
  <si>
    <t>Test No2</t>
  </si>
  <si>
    <t>Test Date</t>
  </si>
  <si>
    <t>Comments on Discrepancies</t>
  </si>
  <si>
    <t>We Got You Covered</t>
  </si>
  <si>
    <t>TestTypes</t>
  </si>
  <si>
    <t>Code</t>
  </si>
  <si>
    <t>Test Type</t>
  </si>
  <si>
    <t>Positive Test PT</t>
  </si>
  <si>
    <t>Negative Test NT</t>
  </si>
  <si>
    <t>Transcription Test TT</t>
  </si>
  <si>
    <t>Functional - Non Functional</t>
  </si>
  <si>
    <t>Risk Assessment Plan</t>
  </si>
  <si>
    <t>Context</t>
  </si>
  <si>
    <t>To Test an App for the Gym "Fit For Life"</t>
  </si>
  <si>
    <t>Assumptions</t>
  </si>
  <si>
    <t>The input fields for customer name and address are validated. Not Necessary for Testing</t>
  </si>
  <si>
    <t>Age, membership type, duration and use are all dropdown lists where a selection must be made in each. These are dependencies of the Calculate Button. Testing Required</t>
  </si>
  <si>
    <t>Calculation Rules</t>
  </si>
  <si>
    <t>Membership type falls into the three categories of full, country and day.</t>
  </si>
  <si>
    <t>Duration can be three, six, nine or 12 months</t>
  </si>
  <si>
    <t>Test Case Prioritization</t>
  </si>
  <si>
    <t>Boundary Value Analysis</t>
  </si>
  <si>
    <t>Test the Full Membership</t>
  </si>
  <si>
    <t>Duration</t>
  </si>
  <si>
    <t>Test the 17,18 and 40,41 and 80,81 Age Brackets</t>
  </si>
  <si>
    <t>Test the 40,41 Age Brackets</t>
  </si>
  <si>
    <t>Test the 79,80,81 Age Brackets</t>
  </si>
  <si>
    <t>Test the 3,6,9,12 Month Boundaries</t>
  </si>
  <si>
    <t>Suitable Usability</t>
  </si>
  <si>
    <t>Family is Checkbox and if checked  Discount is available. Testing Required</t>
  </si>
  <si>
    <t>The Calculate Button is dependent on the above Checkbox and DropDown Boxes being correct.  It will carry out the specified calculations once the other dependencies are confirmed. Testing Required</t>
  </si>
  <si>
    <t xml:space="preserve">The app has 2 Drop Down Boxes and 1 CheckBox </t>
  </si>
  <si>
    <t xml:space="preserve">The App has Print and Save Buttons  </t>
  </si>
  <si>
    <t xml:space="preserve">The App has a Calculate Buttons  </t>
  </si>
  <si>
    <t xml:space="preserve">A checkbox is used to ascertain whether a family member is already a member of gym  </t>
  </si>
  <si>
    <t xml:space="preserve">The Save Details button prompts to ask the user if they want to print the quote. If the response is yes the quote is printed and the record is saved to the file. </t>
  </si>
  <si>
    <t>Comments / Recommendations</t>
  </si>
  <si>
    <t>Yearly membership Costs</t>
  </si>
  <si>
    <t>=IF([@[Membership_Type]]="Full", 400,</t>
  </si>
  <si>
    <t>IF([@[Membership_Type]]= "Country", 200,</t>
  </si>
  <si>
    <t>IF([@[Membership_Type]] = "Day",275,0)))</t>
  </si>
  <si>
    <t>Discount on Age</t>
  </si>
  <si>
    <t>=IF(AND([@[Membership_Type]]="Full", [@[Age_Range]] = "41-80"), 0.2,</t>
  </si>
  <si>
    <t>IF(AND([@[Membership_Type]] = "Day", [@[Age_Range]] = "41-80"), 0.15,0))</t>
  </si>
  <si>
    <t>Age Discount Aplied</t>
  </si>
  <si>
    <t>=[@[Yearly_Membership_Cost]]*[@[Age_Discount_Due%]]</t>
  </si>
  <si>
    <t>Yearly cost</t>
  </si>
  <si>
    <t>=[@[Yearly_Membership_Cost]]-[@[Age_Discount_Applied]]</t>
  </si>
  <si>
    <t>Family Discount</t>
  </si>
  <si>
    <t>=IF([@[Family_Member?]]="Yes",0.05,0)</t>
  </si>
  <si>
    <t>Family Discount Applied</t>
  </si>
  <si>
    <t>=[@[Family_Discount_Due]]*[@[Yearly_Cost]]</t>
  </si>
  <si>
    <t>=IF([@[Membership_Type]]&lt;&gt;"",5,0)</t>
  </si>
  <si>
    <t>Rate Due</t>
  </si>
  <si>
    <t>=( ( ([@[Yearly_Cost]]/12) *[@[Monthly_Duration]]) )</t>
  </si>
  <si>
    <t>+[@[Registration_Fee]]-[@[Family_Discount_Applied]]</t>
  </si>
  <si>
    <t>Country Membership Charge</t>
  </si>
  <si>
    <t>=IF(AND([@[Membership_Type]]="Country", [@[Member_Visits]] &gt; 40), 20,0)</t>
  </si>
  <si>
    <t>Total Cost</t>
  </si>
  <si>
    <t>=[@[Rate_Due]]+[@[Country_Member_ Charge]]</t>
  </si>
  <si>
    <t>Ciaran</t>
  </si>
  <si>
    <t>Test Plan Calculations</t>
  </si>
  <si>
    <t>Ciaran Lynch</t>
  </si>
  <si>
    <t>Different Coat</t>
  </si>
  <si>
    <t>Customer Class</t>
  </si>
  <si>
    <t>Input/ Filename/ SQL Query</t>
  </si>
  <si>
    <t>CustomerType Initialisation</t>
  </si>
  <si>
    <t>1.1 Space</t>
  </si>
  <si>
    <t xml:space="preserve">Actual output </t>
  </si>
  <si>
    <t>Expected Output</t>
  </si>
  <si>
    <t>"T"</t>
  </si>
  <si>
    <t>CustomerAddress Initialisation</t>
  </si>
  <si>
    <t>CustomerPhone Initialisation</t>
  </si>
  <si>
    <t>SurfaceArea Initialisation</t>
  </si>
  <si>
    <t>Height Initialisation</t>
  </si>
  <si>
    <t>Room Shape Initialisation</t>
  </si>
  <si>
    <t>1.2 Space</t>
  </si>
  <si>
    <t>1.3 Space</t>
  </si>
  <si>
    <t>1.4 Space</t>
  </si>
  <si>
    <t>1.5 Space</t>
  </si>
  <si>
    <t>1.6 Space</t>
  </si>
  <si>
    <t>Width Initialisation</t>
  </si>
  <si>
    <t>1.7 Space</t>
  </si>
  <si>
    <t>To ascertain the correctness of the 7 Child Tests on Parent Test Initialisation</t>
  </si>
  <si>
    <t>Check Customer Type = "T"</t>
  </si>
  <si>
    <t>Check Customer Phone = "89123"</t>
  </si>
  <si>
    <t>Check Width = 15.0</t>
  </si>
  <si>
    <t xml:space="preserve">To ascertain the correctness of Trade Customer based on Constructor 1  </t>
  </si>
  <si>
    <t>To ascertain the correctnes a general customer based on constructor 2 rectangle room</t>
  </si>
  <si>
    <t>G; 124 Main Street Letterkenny; 894546255; rectangle; 12; 15; C Lynch;</t>
  </si>
  <si>
    <t>T;Main Street Buncrana;3538754613;351; Buncrana Paint Supplies;</t>
  </si>
  <si>
    <t>To ascertain the correctnes a general customer based on constructor 2 square room</t>
  </si>
  <si>
    <t>G; 121 Hollymount Derry; 87565465; square; 18; 18; S OConnor;</t>
  </si>
  <si>
    <t>To ascertain the correctnes a general customer based on constructor 2 cylinder room</t>
  </si>
  <si>
    <t>G; 125 Main Street Coleraine; 83456785; cylinder; 14; 8; A Todd;</t>
  </si>
  <si>
    <t>"89123"</t>
  </si>
  <si>
    <t>"Square"</t>
  </si>
  <si>
    <t>As Expected</t>
  </si>
  <si>
    <t>Check Customer Address = "123 Main"</t>
  </si>
  <si>
    <t>"123 Main st"</t>
  </si>
  <si>
    <t>Check Area = 160.0</t>
  </si>
  <si>
    <t>Check Height = 8.0</t>
  </si>
  <si>
    <t>Check Room Shape "square" = 8.0</t>
  </si>
  <si>
    <t>To ascertain the correctnes a trade customer calculation</t>
  </si>
  <si>
    <t>"Buncrana Paint Supplies", 351.0 Surface Area</t>
  </si>
  <si>
    <t>"Buncrana Paint Supplies - 5.0 Litres"</t>
  </si>
  <si>
    <t>To ascertain the correctnes a general customer calculation</t>
  </si>
  <si>
    <t>"C Lynch = 8.0 Litres"</t>
  </si>
  <si>
    <t>G, "124 Main Street Letterkenny", "894546254", "rectangle", 12.0, 15.0, "C Lynch"</t>
  </si>
  <si>
    <t>CSV import of General Customers</t>
  </si>
  <si>
    <t>CSV import of Trade Customers</t>
  </si>
  <si>
    <t>4 Records</t>
  </si>
  <si>
    <t>3 Records output</t>
  </si>
  <si>
    <t>All  4 records imported correctly where customerType = "G"</t>
  </si>
  <si>
    <t>All  4 records imported correctly where customerType = "T"</t>
  </si>
  <si>
    <t>CSV import error - Last record for Trade customer was not imported</t>
  </si>
  <si>
    <t>CSV import error - Last record for Trade customer was not imported.  May ned to review the Helper class for the code used to import from the CSV file</t>
  </si>
  <si>
    <t>1 Record</t>
  </si>
  <si>
    <t>"350"</t>
  </si>
  <si>
    <t>Constants Class</t>
  </si>
  <si>
    <t>01/05/202</t>
  </si>
  <si>
    <t>"4.54"</t>
  </si>
  <si>
    <t>Trade Customer Class</t>
  </si>
  <si>
    <t>General Customer Class</t>
  </si>
  <si>
    <t>To ascertain the correctness of the instance variables initialisation and initial value provided for customer</t>
  </si>
  <si>
    <t>To assert LITRES value</t>
  </si>
  <si>
    <t>To assert DOOR value</t>
  </si>
  <si>
    <t>To assert WINDOW value</t>
  </si>
  <si>
    <t>"20"</t>
  </si>
  <si>
    <t>"25"</t>
  </si>
  <si>
    <t>To assert COVERAGE value</t>
  </si>
  <si>
    <t>6..2</t>
  </si>
  <si>
    <t>Test No 6.2</t>
  </si>
  <si>
    <t>Customer Imports</t>
  </si>
  <si>
    <t>1 record failed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</si>
</sst>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809]#,##0.00"/>
    <numFmt numFmtId="166" formatCode="dd/mm/yy;@"/>
  </numFmts>
  <fonts count="22" x14ac:knownFonts="1">
    <font>
      <sz val="11"/>
      <color theme="1"/>
      <name val="Aptos Narrow"/>
      <family val="2"/>
      <scheme val="minor"/>
    </font>
    <font>
      <sz val="12"/>
      <color theme="1"/>
      <name val="Aptos Narrow"/>
      <family val="2"/>
      <scheme val="minor"/>
    </font>
    <font>
      <b/>
      <sz val="11"/>
      <color theme="1"/>
      <name val="Aptos Narrow"/>
      <family val="2"/>
      <scheme val="minor"/>
    </font>
    <font>
      <sz val="12"/>
      <color rgb="FFFF0000"/>
      <name val="Aptos Narrow"/>
      <family val="2"/>
      <scheme val="minor"/>
    </font>
    <font>
      <b/>
      <sz val="11"/>
      <color theme="0"/>
      <name val="Aptos Narrow"/>
      <family val="2"/>
      <scheme val="minor"/>
    </font>
    <font>
      <sz val="12"/>
      <color theme="1"/>
      <name val="Times New Roman"/>
      <family val="1"/>
    </font>
    <font>
      <sz val="11"/>
      <name val="Aptos Narrow"/>
      <family val="2"/>
      <scheme val="minor"/>
    </font>
    <font>
      <sz val="8"/>
      <name val="Aptos Narrow"/>
      <family val="2"/>
      <scheme val="minor"/>
    </font>
    <font>
      <b/>
      <sz val="10"/>
      <color theme="1"/>
      <name val="Arial"/>
      <family val="2"/>
    </font>
    <font>
      <sz val="10"/>
      <color theme="1"/>
      <name val="Arial"/>
      <family val="2"/>
    </font>
    <font>
      <i/>
      <sz val="11"/>
      <color theme="1"/>
      <name val="Aptos Narrow"/>
      <family val="2"/>
      <scheme val="minor"/>
    </font>
    <font>
      <b/>
      <i/>
      <sz val="16"/>
      <color rgb="FFFF0000"/>
      <name val="Aptos Narrow"/>
      <family val="2"/>
      <scheme val="minor"/>
    </font>
    <font>
      <sz val="11"/>
      <color theme="1"/>
      <name val="Arial"/>
      <family val="2"/>
    </font>
    <font>
      <b/>
      <i/>
      <sz val="12"/>
      <color theme="1"/>
      <name val="Arial"/>
      <family val="2"/>
    </font>
    <font>
      <b/>
      <i/>
      <sz val="18"/>
      <color theme="1"/>
      <name val="Arial"/>
      <family val="2"/>
    </font>
    <font>
      <i/>
      <sz val="11"/>
      <color theme="1"/>
      <name val="Arial"/>
      <family val="2"/>
    </font>
    <font>
      <sz val="10"/>
      <name val="Arial"/>
      <family val="2"/>
    </font>
    <font>
      <b/>
      <i/>
      <sz val="11"/>
      <color theme="1"/>
      <name val="Aptos Narrow"/>
      <family val="2"/>
      <scheme val="minor"/>
    </font>
    <font>
      <b/>
      <i/>
      <sz val="16"/>
      <name val="Aptos Narrow"/>
      <family val="2"/>
      <scheme val="minor"/>
    </font>
    <font>
      <b/>
      <sz val="11"/>
      <name val="Aptos Narrow"/>
      <family val="2"/>
      <scheme val="minor"/>
    </font>
    <font>
      <i/>
      <sz val="11"/>
      <name val="Aptos Narrow"/>
      <family val="2"/>
      <scheme val="minor"/>
    </font>
    <font>
      <b/>
      <sz val="10"/>
      <name val="Arial"/>
      <family val="2"/>
    </font>
  </fonts>
  <fills count="6">
    <fill>
      <patternFill patternType="none"/>
    </fill>
    <fill>
      <patternFill patternType="gray125"/>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3999755851924192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121">
    <xf numFmtId="0" fontId="0" fillId="0" borderId="0" xfId="0"/>
    <xf numFmtId="0" fontId="0" fillId="2" borderId="0" xfId="0" applyFill="1"/>
    <xf numFmtId="0" fontId="2" fillId="0" borderId="0" xfId="0" applyFont="1"/>
    <xf numFmtId="0" fontId="2" fillId="0" borderId="0" xfId="0" applyFont="1" applyAlignment="1">
      <alignment wrapText="1"/>
    </xf>
    <xf numFmtId="14" fontId="0" fillId="0" borderId="0" xfId="0" applyNumberFormat="1"/>
    <xf numFmtId="0" fontId="0" fillId="0" borderId="0" xfId="0" applyAlignment="1">
      <alignment horizontal="center" vertical="justify" wrapText="1"/>
    </xf>
    <xf numFmtId="0" fontId="1" fillId="2" borderId="2" xfId="0" applyFont="1" applyFill="1" applyBorder="1" applyAlignment="1">
      <alignment horizontal="right"/>
    </xf>
    <xf numFmtId="0" fontId="1" fillId="2" borderId="7" xfId="0" applyFont="1" applyFill="1" applyBorder="1" applyAlignment="1">
      <alignment horizontal="right"/>
    </xf>
    <xf numFmtId="164" fontId="1" fillId="2" borderId="1" xfId="0" applyNumberFormat="1" applyFont="1" applyFill="1" applyBorder="1" applyAlignment="1">
      <alignment horizontal="right"/>
    </xf>
    <xf numFmtId="164" fontId="1" fillId="2" borderId="5" xfId="0" applyNumberFormat="1" applyFont="1" applyFill="1" applyBorder="1" applyAlignment="1">
      <alignment horizontal="right"/>
    </xf>
    <xf numFmtId="164" fontId="1" fillId="2" borderId="8" xfId="0" applyNumberFormat="1" applyFont="1" applyFill="1" applyBorder="1" applyAlignment="1">
      <alignment horizontal="right"/>
    </xf>
    <xf numFmtId="0" fontId="5" fillId="0" borderId="0" xfId="0" applyFont="1" applyAlignment="1">
      <alignment vertical="center"/>
    </xf>
    <xf numFmtId="0" fontId="0" fillId="0" borderId="0" xfId="0" applyAlignment="1">
      <alignment horizontal="right"/>
    </xf>
    <xf numFmtId="10" fontId="0" fillId="0" borderId="0" xfId="0" applyNumberFormat="1"/>
    <xf numFmtId="164" fontId="0" fillId="0" borderId="0" xfId="0" applyNumberFormat="1"/>
    <xf numFmtId="0" fontId="0" fillId="0" borderId="0" xfId="0" applyAlignment="1">
      <alignment horizontal="left"/>
    </xf>
    <xf numFmtId="0" fontId="4" fillId="3" borderId="10" xfId="0" applyFont="1" applyFill="1" applyBorder="1"/>
    <xf numFmtId="0" fontId="0" fillId="4" borderId="10" xfId="0" applyFill="1" applyBorder="1"/>
    <xf numFmtId="0" fontId="0" fillId="0" borderId="10" xfId="0" applyBorder="1"/>
    <xf numFmtId="0" fontId="6" fillId="2" borderId="0" xfId="0" applyFont="1" applyFill="1"/>
    <xf numFmtId="10" fontId="1" fillId="2" borderId="1" xfId="0" applyNumberFormat="1" applyFont="1" applyFill="1" applyBorder="1" applyAlignment="1">
      <alignment horizontal="right"/>
    </xf>
    <xf numFmtId="1" fontId="1" fillId="2" borderId="6" xfId="0" applyNumberFormat="1" applyFont="1" applyFill="1" applyBorder="1" applyAlignment="1">
      <alignment horizontal="right"/>
    </xf>
    <xf numFmtId="1" fontId="1" fillId="2" borderId="3" xfId="0" applyNumberFormat="1" applyFont="1" applyFill="1" applyBorder="1" applyAlignment="1">
      <alignment horizontal="right"/>
    </xf>
    <xf numFmtId="1" fontId="1" fillId="2" borderId="9" xfId="0" applyNumberFormat="1" applyFont="1" applyFill="1" applyBorder="1" applyAlignment="1">
      <alignment horizontal="right"/>
    </xf>
    <xf numFmtId="165" fontId="1" fillId="2" borderId="3" xfId="0" applyNumberFormat="1" applyFont="1" applyFill="1" applyBorder="1" applyAlignment="1">
      <alignment horizontal="right"/>
    </xf>
    <xf numFmtId="165" fontId="1" fillId="2" borderId="9" xfId="0" applyNumberFormat="1" applyFont="1" applyFill="1" applyBorder="1" applyAlignment="1">
      <alignment horizontal="right"/>
    </xf>
    <xf numFmtId="165" fontId="1" fillId="2" borderId="6" xfId="0" applyNumberFormat="1" applyFont="1" applyFill="1" applyBorder="1" applyAlignment="1">
      <alignment horizontal="right"/>
    </xf>
    <xf numFmtId="10" fontId="1" fillId="2" borderId="5" xfId="0" applyNumberFormat="1" applyFont="1" applyFill="1" applyBorder="1" applyAlignment="1">
      <alignment horizontal="right"/>
    </xf>
    <xf numFmtId="10" fontId="1" fillId="2" borderId="8" xfId="0" applyNumberFormat="1" applyFont="1" applyFill="1" applyBorder="1" applyAlignment="1">
      <alignment horizontal="right"/>
    </xf>
    <xf numFmtId="3" fontId="1" fillId="2" borderId="5" xfId="0" applyNumberFormat="1" applyFont="1" applyFill="1" applyBorder="1" applyAlignment="1">
      <alignment horizontal="right"/>
    </xf>
    <xf numFmtId="3" fontId="1" fillId="2" borderId="8" xfId="0" applyNumberFormat="1" applyFont="1" applyFill="1" applyBorder="1" applyAlignment="1">
      <alignment horizontal="right"/>
    </xf>
    <xf numFmtId="165" fontId="1" fillId="2" borderId="5" xfId="0" applyNumberFormat="1" applyFont="1" applyFill="1" applyBorder="1" applyAlignment="1">
      <alignment horizontal="right"/>
    </xf>
    <xf numFmtId="165" fontId="1" fillId="2" borderId="1" xfId="0" applyNumberFormat="1" applyFont="1" applyFill="1" applyBorder="1" applyAlignment="1">
      <alignment horizontal="right"/>
    </xf>
    <xf numFmtId="165" fontId="1" fillId="2" borderId="8" xfId="0" applyNumberFormat="1" applyFont="1" applyFill="1" applyBorder="1" applyAlignment="1">
      <alignment horizontal="right"/>
    </xf>
    <xf numFmtId="0" fontId="3" fillId="5" borderId="4" xfId="0" applyFont="1" applyFill="1" applyBorder="1" applyAlignment="1">
      <alignment horizontal="center" vertical="justify" wrapText="1"/>
    </xf>
    <xf numFmtId="0" fontId="3" fillId="5" borderId="5" xfId="0" applyFont="1" applyFill="1" applyBorder="1" applyAlignment="1">
      <alignment horizontal="center" vertical="justify" wrapText="1"/>
    </xf>
    <xf numFmtId="0" fontId="1" fillId="2" borderId="0" xfId="0" applyFont="1" applyFill="1"/>
    <xf numFmtId="0" fontId="2" fillId="0" borderId="0" xfId="0" applyFont="1" applyAlignment="1">
      <alignment horizontal="left" vertical="center" wrapText="1"/>
    </xf>
    <xf numFmtId="0" fontId="2" fillId="2" borderId="1" xfId="0" applyFont="1" applyFill="1" applyBorder="1" applyAlignment="1">
      <alignment horizontal="center" vertical="justify" wrapText="1"/>
    </xf>
    <xf numFmtId="0" fontId="0" fillId="2" borderId="3" xfId="0" applyFill="1" applyBorder="1" applyAlignment="1">
      <alignment horizontal="center" vertical="justify" wrapText="1"/>
    </xf>
    <xf numFmtId="0" fontId="10" fillId="2" borderId="1" xfId="0" applyFont="1" applyFill="1" applyBorder="1" applyAlignment="1">
      <alignment horizontal="center" vertical="justify" wrapText="1"/>
    </xf>
    <xf numFmtId="0" fontId="0" fillId="2" borderId="15" xfId="0" applyFill="1" applyBorder="1" applyAlignment="1">
      <alignment horizontal="center" vertical="justify" wrapText="1"/>
    </xf>
    <xf numFmtId="0" fontId="8" fillId="2" borderId="17" xfId="0" applyFont="1" applyFill="1" applyBorder="1" applyAlignment="1">
      <alignment horizontal="center" vertical="justify" wrapText="1"/>
    </xf>
    <xf numFmtId="0" fontId="8" fillId="2" borderId="5" xfId="0" applyFont="1" applyFill="1" applyBorder="1" applyAlignment="1">
      <alignment horizontal="center" vertical="justify" wrapText="1"/>
    </xf>
    <xf numFmtId="0" fontId="8" fillId="2" borderId="6" xfId="0" applyFont="1" applyFill="1" applyBorder="1" applyAlignment="1">
      <alignment horizontal="center" vertical="justify" wrapText="1"/>
    </xf>
    <xf numFmtId="0" fontId="8" fillId="2" borderId="16" xfId="0" applyFont="1" applyFill="1" applyBorder="1" applyAlignment="1">
      <alignment horizontal="center" vertical="justify" wrapText="1"/>
    </xf>
    <xf numFmtId="0" fontId="8" fillId="2" borderId="1" xfId="0" applyFont="1" applyFill="1" applyBorder="1" applyAlignment="1">
      <alignment horizontal="center" vertical="justify" wrapText="1"/>
    </xf>
    <xf numFmtId="0" fontId="8" fillId="2" borderId="15" xfId="0" applyFont="1" applyFill="1" applyBorder="1" applyAlignment="1">
      <alignment horizontal="center" vertical="justify" wrapText="1"/>
    </xf>
    <xf numFmtId="0" fontId="9" fillId="2" borderId="16" xfId="0" applyFont="1" applyFill="1" applyBorder="1" applyAlignment="1">
      <alignment horizontal="center" vertical="center" wrapText="1"/>
    </xf>
    <xf numFmtId="166" fontId="9" fillId="2" borderId="1" xfId="0" applyNumberFormat="1" applyFont="1" applyFill="1" applyBorder="1" applyAlignment="1">
      <alignment horizontal="left" vertical="center" wrapText="1"/>
    </xf>
    <xf numFmtId="0" fontId="9" fillId="2" borderId="1" xfId="0" applyFont="1" applyFill="1" applyBorder="1" applyAlignment="1">
      <alignment horizontal="center" vertical="justify" wrapText="1"/>
    </xf>
    <xf numFmtId="0" fontId="9" fillId="2" borderId="3" xfId="0" applyFont="1" applyFill="1" applyBorder="1" applyAlignment="1">
      <alignment horizontal="center" vertical="justify" wrapText="1"/>
    </xf>
    <xf numFmtId="164" fontId="9" fillId="2" borderId="16" xfId="0" applyNumberFormat="1" applyFont="1" applyFill="1" applyBorder="1" applyAlignment="1">
      <alignment horizontal="center" vertical="justify" wrapText="1"/>
    </xf>
    <xf numFmtId="0" fontId="9" fillId="2" borderId="1" xfId="0" applyFont="1" applyFill="1" applyBorder="1" applyAlignment="1">
      <alignment horizontal="left" vertical="center" wrapText="1"/>
    </xf>
    <xf numFmtId="0" fontId="9" fillId="2" borderId="15" xfId="0" applyFont="1" applyFill="1" applyBorder="1" applyAlignment="1">
      <alignment horizontal="center" vertical="justify" wrapText="1"/>
    </xf>
    <xf numFmtId="166" fontId="9" fillId="2" borderId="1" xfId="0" applyNumberFormat="1" applyFont="1" applyFill="1" applyBorder="1" applyAlignment="1">
      <alignment horizontal="left"/>
    </xf>
    <xf numFmtId="0" fontId="9" fillId="2" borderId="16" xfId="0" applyFont="1" applyFill="1" applyBorder="1"/>
    <xf numFmtId="0" fontId="9" fillId="2" borderId="16" xfId="0" applyFont="1" applyFill="1" applyBorder="1" applyAlignment="1">
      <alignment horizontal="center" vertical="justify" wrapText="1"/>
    </xf>
    <xf numFmtId="0" fontId="9" fillId="2" borderId="1" xfId="0" applyFont="1" applyFill="1" applyBorder="1" applyAlignment="1">
      <alignment horizontal="left"/>
    </xf>
    <xf numFmtId="0" fontId="9" fillId="2" borderId="18" xfId="0" applyFont="1" applyFill="1" applyBorder="1"/>
    <xf numFmtId="166" fontId="9" fillId="2" borderId="19" xfId="0" applyNumberFormat="1" applyFont="1" applyFill="1" applyBorder="1" applyAlignment="1">
      <alignment horizontal="left" vertical="center" wrapText="1"/>
    </xf>
    <xf numFmtId="0" fontId="9" fillId="2" borderId="19" xfId="0" applyFont="1" applyFill="1" applyBorder="1" applyAlignment="1">
      <alignment horizontal="center" vertical="justify" wrapText="1"/>
    </xf>
    <xf numFmtId="0" fontId="9" fillId="2" borderId="21" xfId="0" applyFont="1" applyFill="1" applyBorder="1" applyAlignment="1">
      <alignment horizontal="center" vertical="justify" wrapText="1"/>
    </xf>
    <xf numFmtId="0" fontId="9" fillId="2" borderId="18" xfId="0" applyFont="1" applyFill="1" applyBorder="1" applyAlignment="1">
      <alignment horizontal="center" vertical="justify" wrapText="1"/>
    </xf>
    <xf numFmtId="0" fontId="9" fillId="2" borderId="19" xfId="0" applyFont="1" applyFill="1" applyBorder="1" applyAlignment="1">
      <alignment horizontal="left"/>
    </xf>
    <xf numFmtId="166" fontId="9" fillId="2" borderId="19" xfId="0" applyNumberFormat="1" applyFont="1" applyFill="1" applyBorder="1" applyAlignment="1">
      <alignment horizontal="left"/>
    </xf>
    <xf numFmtId="0" fontId="9" fillId="2" borderId="20" xfId="0" applyFont="1" applyFill="1" applyBorder="1" applyAlignment="1">
      <alignment horizontal="center" vertical="justify" wrapText="1"/>
    </xf>
    <xf numFmtId="0" fontId="2" fillId="2" borderId="0" xfId="0" applyFont="1" applyFill="1"/>
    <xf numFmtId="0" fontId="5" fillId="2" borderId="0" xfId="0" applyFont="1" applyFill="1" applyAlignment="1">
      <alignment vertical="center"/>
    </xf>
    <xf numFmtId="0" fontId="10" fillId="2" borderId="0" xfId="0" applyFont="1" applyFill="1"/>
    <xf numFmtId="0" fontId="12" fillId="2" borderId="0" xfId="0" applyFont="1" applyFill="1"/>
    <xf numFmtId="0" fontId="12" fillId="2" borderId="0" xfId="0" applyFont="1" applyFill="1" applyAlignment="1">
      <alignment vertical="center"/>
    </xf>
    <xf numFmtId="0" fontId="13" fillId="2" borderId="0" xfId="0" applyFont="1" applyFill="1"/>
    <xf numFmtId="0" fontId="14" fillId="2" borderId="0" xfId="0" applyFont="1" applyFill="1" applyAlignment="1">
      <alignment horizontal="center"/>
    </xf>
    <xf numFmtId="0" fontId="13" fillId="0" borderId="0" xfId="0" applyFont="1"/>
    <xf numFmtId="0" fontId="15" fillId="2" borderId="0" xfId="0" applyFont="1" applyFill="1"/>
    <xf numFmtId="0" fontId="16" fillId="0" borderId="1" xfId="0" applyFont="1" applyBorder="1" applyAlignment="1">
      <alignment horizontal="center" vertical="justify" wrapText="1"/>
    </xf>
    <xf numFmtId="0" fontId="16" fillId="0" borderId="0" xfId="0" applyFont="1" applyAlignment="1">
      <alignment horizontal="center" vertical="justify" wrapText="1"/>
    </xf>
    <xf numFmtId="0" fontId="16" fillId="2" borderId="16" xfId="0" applyFont="1" applyFill="1" applyBorder="1" applyAlignment="1">
      <alignment horizontal="center" vertical="center" wrapText="1"/>
    </xf>
    <xf numFmtId="166" fontId="16" fillId="2" borderId="1" xfId="0" applyNumberFormat="1" applyFont="1" applyFill="1" applyBorder="1" applyAlignment="1">
      <alignment horizontal="left" vertical="center" wrapText="1"/>
    </xf>
    <xf numFmtId="0" fontId="16" fillId="2" borderId="1" xfId="0" applyFont="1" applyFill="1" applyBorder="1" applyAlignment="1">
      <alignment horizontal="center" vertical="justify" wrapText="1"/>
    </xf>
    <xf numFmtId="164" fontId="16" fillId="2" borderId="16" xfId="0" applyNumberFormat="1" applyFont="1" applyFill="1" applyBorder="1" applyAlignment="1">
      <alignment horizontal="center" vertical="justify" wrapText="1"/>
    </xf>
    <xf numFmtId="0" fontId="16" fillId="2" borderId="15" xfId="0" applyFont="1" applyFill="1" applyBorder="1" applyAlignment="1">
      <alignment horizontal="center" vertical="justify" wrapText="1"/>
    </xf>
    <xf numFmtId="0" fontId="19" fillId="2" borderId="1" xfId="0" applyFont="1" applyFill="1" applyBorder="1" applyAlignment="1">
      <alignment horizontal="center" vertical="justify" wrapText="1"/>
    </xf>
    <xf numFmtId="0" fontId="6" fillId="2" borderId="3" xfId="0" applyFont="1" applyFill="1" applyBorder="1" applyAlignment="1">
      <alignment horizontal="center" vertical="justify" wrapText="1"/>
    </xf>
    <xf numFmtId="0" fontId="20" fillId="2" borderId="1" xfId="0" applyFont="1" applyFill="1" applyBorder="1" applyAlignment="1">
      <alignment horizontal="center" vertical="justify" wrapText="1"/>
    </xf>
    <xf numFmtId="0" fontId="6" fillId="2" borderId="15" xfId="0" applyFont="1" applyFill="1" applyBorder="1" applyAlignment="1">
      <alignment horizontal="center" vertical="justify" wrapText="1"/>
    </xf>
    <xf numFmtId="0" fontId="21" fillId="2" borderId="17" xfId="0" applyFont="1" applyFill="1" applyBorder="1" applyAlignment="1">
      <alignment horizontal="center" vertical="justify" wrapText="1"/>
    </xf>
    <xf numFmtId="0" fontId="21" fillId="2" borderId="5" xfId="0" applyFont="1" applyFill="1" applyBorder="1" applyAlignment="1">
      <alignment horizontal="center" vertical="justify" wrapText="1"/>
    </xf>
    <xf numFmtId="0" fontId="21" fillId="2" borderId="6" xfId="0" applyFont="1" applyFill="1" applyBorder="1" applyAlignment="1">
      <alignment horizontal="center" vertical="justify" wrapText="1"/>
    </xf>
    <xf numFmtId="0" fontId="21" fillId="2" borderId="16" xfId="0" applyFont="1" applyFill="1" applyBorder="1" applyAlignment="1">
      <alignment horizontal="center" vertical="justify" wrapText="1"/>
    </xf>
    <xf numFmtId="0" fontId="21" fillId="2" borderId="1" xfId="0" applyFont="1" applyFill="1" applyBorder="1" applyAlignment="1">
      <alignment horizontal="center" vertical="justify" wrapText="1"/>
    </xf>
    <xf numFmtId="0" fontId="21" fillId="2" borderId="15" xfId="0" applyFont="1" applyFill="1" applyBorder="1" applyAlignment="1">
      <alignment horizontal="center" vertical="justify" wrapText="1"/>
    </xf>
    <xf numFmtId="166" fontId="16" fillId="2" borderId="8" xfId="0" applyNumberFormat="1" applyFont="1" applyFill="1" applyBorder="1" applyAlignment="1">
      <alignment horizontal="left"/>
    </xf>
    <xf numFmtId="0" fontId="16" fillId="2" borderId="8" xfId="0" applyFont="1" applyFill="1" applyBorder="1" applyAlignment="1">
      <alignment horizontal="center" vertical="justify" wrapText="1"/>
    </xf>
    <xf numFmtId="0" fontId="16" fillId="2" borderId="23" xfId="0" applyFont="1" applyFill="1" applyBorder="1" applyAlignment="1">
      <alignment horizontal="center" vertical="justify" wrapText="1"/>
    </xf>
    <xf numFmtId="166" fontId="16" fillId="2" borderId="8" xfId="0" applyNumberFormat="1" applyFont="1" applyFill="1" applyBorder="1" applyAlignment="1">
      <alignment horizontal="center" vertical="justify" wrapText="1"/>
    </xf>
    <xf numFmtId="0" fontId="16" fillId="2" borderId="24" xfId="0" applyFont="1" applyFill="1" applyBorder="1" applyAlignment="1">
      <alignment horizontal="center" vertical="justify" wrapText="1"/>
    </xf>
    <xf numFmtId="0" fontId="0" fillId="2" borderId="0" xfId="0" applyFill="1" applyAlignment="1">
      <alignment horizontal="center" vertical="justify" wrapText="1"/>
    </xf>
    <xf numFmtId="0" fontId="17" fillId="2" borderId="0" xfId="0" applyFont="1" applyFill="1"/>
    <xf numFmtId="0" fontId="10" fillId="2" borderId="3" xfId="0" applyFont="1" applyFill="1" applyBorder="1" applyAlignment="1">
      <alignment horizontal="center" vertical="justify" wrapText="1"/>
    </xf>
    <xf numFmtId="0" fontId="10" fillId="2" borderId="2" xfId="0" applyFont="1" applyFill="1" applyBorder="1" applyAlignment="1">
      <alignment horizontal="center" vertical="justify" wrapText="1"/>
    </xf>
    <xf numFmtId="0" fontId="2" fillId="2" borderId="16" xfId="0" applyFont="1" applyFill="1" applyBorder="1" applyAlignment="1">
      <alignment horizontal="center" vertical="justify" wrapText="1"/>
    </xf>
    <xf numFmtId="0" fontId="2" fillId="2" borderId="1" xfId="0" applyFont="1" applyFill="1" applyBorder="1" applyAlignment="1">
      <alignment horizontal="center" vertical="justify" wrapText="1"/>
    </xf>
    <xf numFmtId="0" fontId="11" fillId="2" borderId="11" xfId="0" applyFont="1" applyFill="1" applyBorder="1" applyAlignment="1">
      <alignment horizontal="center"/>
    </xf>
    <xf numFmtId="0" fontId="11" fillId="2" borderId="12" xfId="0" applyFont="1" applyFill="1" applyBorder="1" applyAlignment="1">
      <alignment horizontal="center"/>
    </xf>
    <xf numFmtId="0" fontId="11" fillId="2" borderId="22" xfId="0" applyFont="1" applyFill="1" applyBorder="1" applyAlignment="1">
      <alignment horizontal="center"/>
    </xf>
    <xf numFmtId="0" fontId="11" fillId="2" borderId="13" xfId="0" applyFont="1" applyFill="1" applyBorder="1" applyAlignment="1">
      <alignment horizontal="center"/>
    </xf>
    <xf numFmtId="0" fontId="2" fillId="2" borderId="14" xfId="0" applyFont="1" applyFill="1" applyBorder="1" applyAlignment="1">
      <alignment horizontal="center" vertical="justify" wrapText="1"/>
    </xf>
    <xf numFmtId="0" fontId="2" fillId="2" borderId="2" xfId="0" applyFont="1" applyFill="1" applyBorder="1" applyAlignment="1">
      <alignment horizontal="center" vertical="justify" wrapText="1"/>
    </xf>
    <xf numFmtId="0" fontId="19" fillId="2" borderId="16" xfId="0" applyFont="1" applyFill="1" applyBorder="1" applyAlignment="1">
      <alignment horizontal="center" vertical="justify" wrapText="1"/>
    </xf>
    <xf numFmtId="0" fontId="19" fillId="2" borderId="1" xfId="0" applyFont="1" applyFill="1" applyBorder="1" applyAlignment="1">
      <alignment horizontal="center" vertical="justify" wrapText="1"/>
    </xf>
    <xf numFmtId="0" fontId="20" fillId="2" borderId="3" xfId="0" applyFont="1" applyFill="1" applyBorder="1" applyAlignment="1">
      <alignment horizontal="center" vertical="justify" wrapText="1"/>
    </xf>
    <xf numFmtId="0" fontId="20" fillId="2" borderId="2" xfId="0" applyFont="1" applyFill="1" applyBorder="1" applyAlignment="1">
      <alignment horizontal="center" vertical="justify" wrapText="1"/>
    </xf>
    <xf numFmtId="0" fontId="18" fillId="2" borderId="11" xfId="0" applyFont="1" applyFill="1" applyBorder="1" applyAlignment="1">
      <alignment horizontal="center"/>
    </xf>
    <xf numFmtId="0" fontId="18" fillId="2" borderId="12" xfId="0" applyFont="1" applyFill="1" applyBorder="1" applyAlignment="1">
      <alignment horizontal="center"/>
    </xf>
    <xf numFmtId="0" fontId="18" fillId="2" borderId="22" xfId="0" applyFont="1" applyFill="1" applyBorder="1" applyAlignment="1">
      <alignment horizontal="center"/>
    </xf>
    <xf numFmtId="0" fontId="18" fillId="2" borderId="13" xfId="0" applyFont="1" applyFill="1" applyBorder="1" applyAlignment="1">
      <alignment horizontal="center"/>
    </xf>
    <xf numFmtId="0" fontId="19" fillId="2" borderId="14" xfId="0" applyFont="1" applyFill="1" applyBorder="1" applyAlignment="1">
      <alignment horizontal="center" vertical="justify" wrapText="1"/>
    </xf>
    <xf numFmtId="0" fontId="19" fillId="2" borderId="2" xfId="0" applyFont="1" applyFill="1" applyBorder="1" applyAlignment="1">
      <alignment horizontal="center" vertical="justify" wrapText="1"/>
    </xf>
    <xf numFmtId="0" fontId="0" fillId="0" borderId="0" xfId="0" applyAlignment="1">
      <alignment horizontal="center"/>
    </xf>
  </cellXfs>
  <cellStyles count="1">
    <cellStyle name="Normal" xfId="0" builtinId="0"/>
  </cellStyles>
  <dxfs count="127">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dxf>
    <dxf>
      <numFmt numFmtId="164" formatCode="&quot;£&quot;#,##0.00"/>
    </dxf>
    <dxf>
      <numFmt numFmtId="164" formatCode="&quot;£&quot;#,##0.00"/>
    </dxf>
    <dxf>
      <alignment horizontal="left" vertical="bottom" textRotation="0" wrapText="0" indent="0" justifyLastLine="0" shrinkToFit="0" readingOrder="0"/>
    </dxf>
    <dxf>
      <alignment horizontal="right" vertical="bottom" textRotation="0" wrapText="0" indent="0" justifyLastLine="0" shrinkToFit="0" readingOrder="0"/>
    </dxf>
    <dxf>
      <numFmt numFmtId="14" formatCode="0.00%"/>
    </dxf>
    <dxf>
      <numFmt numFmtId="164" formatCode="&quot;£&quot;#,##0.0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quot;£&quot;#,##0.00"/>
    </dxf>
    <dxf>
      <alignment horizontal="left"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4" formatCode="&quot;£&quot;#,##0.00"/>
      <fill>
        <patternFill patternType="solid">
          <fgColor indexed="64"/>
          <bgColor theme="0"/>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numFmt numFmtId="165" formatCode="[$£-809]#,##0.00"/>
      <fill>
        <patternFill patternType="solid">
          <fgColor indexed="64"/>
          <bgColor theme="0"/>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theme="1"/>
        <name val="Aptos Narrow"/>
        <family val="2"/>
        <scheme val="minor"/>
      </font>
      <numFmt numFmtId="165" formatCode="[$£-809]#,##0.00"/>
      <fill>
        <patternFill patternType="solid">
          <fgColor indexed="64"/>
          <bgColor theme="0"/>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2"/>
        <color theme="1"/>
        <name val="Aptos Narrow"/>
        <family val="2"/>
        <scheme val="minor"/>
      </font>
      <numFmt numFmtId="164" formatCode="&quot;£&quot;#,##0.00"/>
      <fill>
        <patternFill patternType="solid">
          <fgColor indexed="64"/>
          <bgColor theme="0"/>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Aptos Narrow"/>
        <family val="2"/>
        <scheme val="minor"/>
      </font>
      <numFmt numFmtId="165" formatCode="[$£-809]#,##0.00"/>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numFmt numFmtId="14" formatCode="0.00%"/>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numFmt numFmtId="165" formatCode="[$£-809]#,##0.00"/>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Aptos Narrow"/>
        <family val="2"/>
        <scheme val="minor"/>
      </font>
      <numFmt numFmtId="165" formatCode="[$£-809]#,##0.00"/>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numFmt numFmtId="14" formatCode="0.00%"/>
      <fill>
        <patternFill patternType="solid">
          <fgColor indexed="64"/>
          <bgColor theme="0"/>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numFmt numFmtId="164" formatCode="&quot;£&quot;#,##0.00"/>
      <fill>
        <patternFill patternType="solid">
          <fgColor indexed="64"/>
          <bgColor theme="0"/>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Aptos Narrow"/>
        <family val="2"/>
        <scheme val="minor"/>
      </font>
      <numFmt numFmtId="164" formatCode="&quot;£&quot;#,##0.00"/>
      <fill>
        <patternFill patternType="solid">
          <fgColor indexed="64"/>
          <bgColor theme="0"/>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numFmt numFmtId="3" formatCode="#,##0"/>
      <fill>
        <patternFill patternType="solid">
          <fgColor indexed="64"/>
          <bgColor theme="0"/>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Aptos Narrow"/>
        <family val="2"/>
        <scheme val="minor"/>
      </font>
      <numFmt numFmtId="164" formatCode="&quot;£&quot;#,##0.00"/>
      <fill>
        <patternFill patternType="solid">
          <fgColor indexed="64"/>
          <bgColor theme="0"/>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ptos Narrow"/>
        <family val="2"/>
        <scheme val="minor"/>
      </font>
      <numFmt numFmtId="164" formatCode="&quot;£&quot;#,##0.00"/>
      <fill>
        <patternFill patternType="solid">
          <fgColor indexed="64"/>
          <bgColor theme="0"/>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fill>
        <patternFill patternType="solid">
          <fgColor indexed="64"/>
          <bgColor theme="0"/>
        </patternFill>
      </fill>
      <alignment horizontal="right"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fill>
        <patternFill patternType="solid">
          <fgColor indexed="64"/>
          <bgColor theme="0"/>
        </patternFill>
      </fill>
      <alignment horizontal="right"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2"/>
        <color rgb="FFFF0000"/>
        <name val="Aptos Narrow"/>
        <family val="2"/>
        <scheme val="minor"/>
      </font>
      <fill>
        <patternFill patternType="solid">
          <fgColor indexed="64"/>
          <bgColor theme="4" tint="0.39997558519241921"/>
        </patternFill>
      </fill>
      <alignment horizontal="center" vertical="justify" textRotation="0" wrapText="1" indent="0" justifyLastLine="0" shrinkToFit="0" readingOrder="0"/>
      <border diagonalUp="0" diagonalDown="0" outline="0">
        <left style="thin">
          <color indexed="64"/>
        </left>
        <right style="thin">
          <color indexed="64"/>
        </right>
        <top/>
        <bottom/>
      </border>
    </dxf>
    <dxf>
      <numFmt numFmtId="0" formatCode="General"/>
    </dxf>
    <dxf>
      <alignment horizontal="center" vertical="justify" textRotation="0" wrapText="1" indent="0" justifyLastLine="0" shrinkToFit="0" readingOrder="0"/>
    </dxf>
    <dxf>
      <numFmt numFmtId="19" formatCode="dd/mm/yyyy"/>
    </dxf>
    <dxf>
      <font>
        <b/>
        <i val="0"/>
        <strike val="0"/>
        <condense val="0"/>
        <extend val="0"/>
        <outline val="0"/>
        <shadow val="0"/>
        <u val="none"/>
        <vertAlign val="baseline"/>
        <sz val="11"/>
        <color theme="1"/>
        <name val="Aptos Narrow"/>
        <family val="2"/>
        <scheme val="minor"/>
      </font>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numFmt numFmtId="166" formatCode="dd/mm/yy;@"/>
      <fill>
        <patternFill patternType="solid">
          <fgColor indexed="64"/>
          <bgColor theme="0"/>
        </patternFill>
      </fill>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numFmt numFmtId="166" formatCode="dd/mm/yy;@"/>
      <fill>
        <patternFill patternType="solid">
          <fgColor indexed="64"/>
          <bgColor theme="0"/>
        </patternFill>
      </fill>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border diagonalUp="0" diagonalDown="0" outline="0">
        <left style="medium">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center" textRotation="0" wrapText="1" indent="0" justifyLastLine="0" shrinkToFit="0" readingOrder="0"/>
    </dxf>
    <dxf>
      <font>
        <strike val="0"/>
        <outline val="0"/>
        <shadow val="0"/>
        <u val="none"/>
        <vertAlign val="baseline"/>
        <sz val="10"/>
        <color auto="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0"/>
        <color auto="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none"/>
      </font>
      <numFmt numFmtId="166" formatCode="dd/mm/yy;@"/>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none"/>
      </font>
      <numFmt numFmtId="166" formatCode="dd/mm/yy;@"/>
      <fill>
        <patternFill patternType="solid">
          <fgColor indexed="64"/>
          <bgColor theme="0"/>
        </patternFill>
      </fill>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none"/>
      </font>
      <fill>
        <patternFill patternType="solid">
          <fgColor indexed="64"/>
          <bgColor theme="0"/>
        </patternFill>
      </fill>
      <border diagonalUp="0" diagonalDown="0" outline="0">
        <left style="medium">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none"/>
      </font>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1" indent="0" justifyLastLine="0" shrinkToFit="0" readingOrder="0"/>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numFmt numFmtId="166" formatCode="dd/mm/yy;@"/>
      <fill>
        <patternFill patternType="solid">
          <fgColor indexed="64"/>
          <bgColor theme="0"/>
        </patternFill>
      </fill>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numFmt numFmtId="166" formatCode="dd/mm/yy;@"/>
      <fill>
        <patternFill patternType="solid">
          <fgColor indexed="64"/>
          <bgColor theme="0"/>
        </patternFill>
      </fill>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border diagonalUp="0" diagonalDown="0" outline="0">
        <left style="medium">
          <color indexed="64"/>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sz val="10"/>
        <color rgb="FF000000"/>
        <name val="Arial"/>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center" textRotation="0" wrapText="1" indent="0" justifyLastLine="0" shrinkToFit="0" readingOrder="0"/>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numFmt numFmtId="166" formatCode="dd/mm/yy;@"/>
      <fill>
        <patternFill patternType="solid">
          <fgColor indexed="64"/>
          <bgColor theme="0"/>
        </patternFill>
      </fill>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numFmt numFmtId="166" formatCode="dd/mm/yy;@"/>
      <fill>
        <patternFill patternType="solid">
          <fgColor indexed="64"/>
          <bgColor theme="0"/>
        </patternFill>
      </fill>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border diagonalUp="0" diagonalDown="0" outline="0">
        <left style="medium">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center" textRotation="0" wrapText="1" indent="0" justifyLastLine="0" shrinkToFit="0" readingOrder="0"/>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numFmt numFmtId="166" formatCode="dd/mm/yy;@"/>
      <fill>
        <patternFill patternType="solid">
          <fgColor indexed="64"/>
          <bgColor theme="0"/>
        </patternFill>
      </fill>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numFmt numFmtId="166" formatCode="dd/mm/yy;@"/>
      <fill>
        <patternFill patternType="solid">
          <fgColor indexed="64"/>
          <bgColor theme="0"/>
        </patternFill>
      </fill>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border diagonalUp="0" diagonalDown="0" outline="0">
        <left style="medium">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center" textRotation="0" wrapText="1" indent="0" justifyLastLine="0" shrinkToFit="0" readingOrder="0"/>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numFmt numFmtId="166" formatCode="dd/mm/yy;@"/>
      <fill>
        <patternFill patternType="solid">
          <fgColor indexed="64"/>
          <bgColor theme="0"/>
        </patternFill>
      </fill>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theme="1"/>
        <name val="Arial"/>
        <family val="2"/>
        <scheme val="none"/>
      </font>
      <fill>
        <patternFill patternType="solid">
          <fgColor indexed="64"/>
          <bgColor theme="0"/>
        </patternFill>
      </fill>
      <alignment horizontal="center" vertical="justify"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numFmt numFmtId="166" formatCode="dd/mm/yy;@"/>
      <fill>
        <patternFill patternType="solid">
          <fgColor indexed="64"/>
          <bgColor theme="0"/>
        </patternFill>
      </fill>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border diagonalUp="0" diagonalDown="0" outline="0">
        <left style="medium">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theme="1"/>
        <name val="Arial"/>
        <family val="2"/>
        <scheme val="none"/>
      </font>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1</xdr:row>
      <xdr:rowOff>85725</xdr:rowOff>
    </xdr:from>
    <xdr:to>
      <xdr:col>1</xdr:col>
      <xdr:colOff>3881474</xdr:colOff>
      <xdr:row>26</xdr:row>
      <xdr:rowOff>133350</xdr:rowOff>
    </xdr:to>
    <xdr:pic>
      <xdr:nvPicPr>
        <xdr:cNvPr id="2" name="Picture 1">
          <a:extLst>
            <a:ext uri="{FF2B5EF4-FFF2-40B4-BE49-F238E27FC236}">
              <a16:creationId xmlns:a16="http://schemas.microsoft.com/office/drawing/2014/main" id="{9668DC19-98F3-9AA8-0A7D-8B7AA1B745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276225"/>
          <a:ext cx="7872449" cy="4810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F227A70-7EC3-4797-B7CE-35CF7BE01D4A}" name="TestPlan" displayName="TestPlan" ref="A4:K18" totalsRowShown="0" headerRowDxfId="126" dataDxfId="124" headerRowBorderDxfId="125" tableBorderDxfId="123">
  <autoFilter ref="A4:K18" xr:uid="{AF227A70-7EC3-4797-B7CE-35CF7BE01D4A}"/>
  <tableColumns count="11">
    <tableColumn id="1" xr3:uid="{0DAC82C9-C029-483F-BECE-A47496D82BCB}" name="Test No" dataDxfId="122"/>
    <tableColumn id="2" xr3:uid="{1F38D3DE-FB64-4791-9E17-48A9BF4CFD1C}" name="Date" dataDxfId="121"/>
    <tableColumn id="3" xr3:uid="{F448B2E4-623B-4885-AC9E-9BF29E235E4B}" name="Purpose/Type of test_x000a_Test Condition" dataDxfId="120"/>
    <tableColumn id="11" xr3:uid="{A29CD042-98A6-4446-A831-36C404B89B63}" name="Input/ Filename/ SQL Query" dataDxfId="119"/>
    <tableColumn id="4" xr3:uid="{5A6A6A8A-9169-4D36-ABBA-A885BEDA3A89}" name="Test Sub Category No" dataDxfId="118"/>
    <tableColumn id="12" xr3:uid="{7B7FAC93-F6FF-44EB-AD10-8EE3F9D711E3}" name="Test Type" dataDxfId="117"/>
    <tableColumn id="5" xr3:uid="{CFA43F51-F40B-4F00-BE8A-052F8DFC953D}" name="Expected Output" dataDxfId="116"/>
    <tableColumn id="6" xr3:uid="{85EC3878-19C6-4E92-9E42-DEB619CDD1B4}" name="Actual output " dataDxfId="115"/>
    <tableColumn id="8" xr3:uid="{D405DB5A-34D9-4856-B7F7-3BE5809BA373}" name="Test Date" dataDxfId="114">
      <calculatedColumnFormula>TestPlan[[#This Row],[Date]]</calculatedColumnFormula>
    </tableColumn>
    <tableColumn id="9" xr3:uid="{7C68F4AF-22F6-4395-BAA7-9D62216E9604}" name="Actual Output" dataDxfId="113"/>
    <tableColumn id="10" xr3:uid="{A05FF890-C136-43F8-9040-DC3E6D73C57D}" name="Comments on Discrepancies" dataDxfId="112"/>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165C65E-F028-43B8-BC9D-C5C92FB4AD60}" name="TestPlan20" displayName="TestPlan20" ref="A4:K6" totalsRowShown="0" headerRowDxfId="111" dataDxfId="109" headerRowBorderDxfId="110" tableBorderDxfId="108">
  <autoFilter ref="A4:K6" xr:uid="{6165C65E-F028-43B8-BC9D-C5C92FB4AD60}"/>
  <tableColumns count="11">
    <tableColumn id="1" xr3:uid="{BEEB6AE3-9A33-4C95-BF8F-046A6CFF47C2}" name="Test No" dataDxfId="107"/>
    <tableColumn id="2" xr3:uid="{85AF20E7-E38B-49EC-90DB-15FE293F5EDF}" name="Date" dataDxfId="106"/>
    <tableColumn id="3" xr3:uid="{3B109766-2D54-4648-AB74-2CCB26EAE1A1}" name="Purpose/Type of test_x000a_Test Condition" dataDxfId="105"/>
    <tableColumn id="11" xr3:uid="{A1847911-24AC-478A-A40A-78994151B956}" name="Input/ Filename/ SQL Query" dataDxfId="104"/>
    <tableColumn id="4" xr3:uid="{B6CAC6FD-6F23-4C04-BDE3-C8F28344EBC6}" name="Test Sub Category No" dataDxfId="103">
      <calculatedColumnFormula>TestPlan20[[#This Row],[Test No]]</calculatedColumnFormula>
    </tableColumn>
    <tableColumn id="12" xr3:uid="{F30F8C15-B5D0-420E-B8E6-083E543D1661}" name="Test Type" dataDxfId="102"/>
    <tableColumn id="5" xr3:uid="{15DFAEB5-BE41-48D6-87E1-CEA9B7463B19}" name="Expected Output" dataDxfId="101"/>
    <tableColumn id="6" xr3:uid="{83619BA4-051B-4C12-A0F3-32BA6A781BCA}" name="Actual output " dataDxfId="100"/>
    <tableColumn id="8" xr3:uid="{9E74CA95-26AF-418D-9A6C-8EED9AB1319E}" name="Test Date" dataDxfId="99">
      <calculatedColumnFormula>TestPlan20[[#This Row],[Date]]</calculatedColumnFormula>
    </tableColumn>
    <tableColumn id="9" xr3:uid="{87195D02-9489-4A89-9F27-2D655653F0A1}" name="Actual Output" dataDxfId="98"/>
    <tableColumn id="10" xr3:uid="{720A39B7-4DF2-40AA-BD85-8E331FAFB191}" name="Comments on Discrepancies" dataDxfId="9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681DB87-AEF8-4B60-B7EA-908B25B65388}" name="TestPlan21" displayName="TestPlan21" ref="A4:K8" totalsRowShown="0" headerRowDxfId="96" dataDxfId="94" headerRowBorderDxfId="95" tableBorderDxfId="93">
  <autoFilter ref="A4:K8" xr:uid="{2681DB87-AEF8-4B60-B7EA-908B25B65388}"/>
  <tableColumns count="11">
    <tableColumn id="1" xr3:uid="{17AF7855-864C-49E9-ADE7-0727439446C2}" name="Test No" dataDxfId="92"/>
    <tableColumn id="2" xr3:uid="{3B66CDE7-8C9B-44BE-9B4E-120B545FD0B4}" name="Date" dataDxfId="91"/>
    <tableColumn id="3" xr3:uid="{4C5F75E1-F992-4FC3-AA72-2FFB26E85308}" name="Purpose/Type of test_x000a_Test Condition" dataDxfId="90"/>
    <tableColumn id="11" xr3:uid="{62752C2B-1A89-47C3-9BD0-C862DAF54A2B}" name="Input/ Filename/ SQL Query" dataDxfId="89"/>
    <tableColumn id="4" xr3:uid="{FEA4654F-C28F-43DE-9598-9A0DF6AB7A52}" name="Test Sub Category No" dataDxfId="88">
      <calculatedColumnFormula>TestPlan21[[#This Row],[Test No]]</calculatedColumnFormula>
    </tableColumn>
    <tableColumn id="12" xr3:uid="{E8DE8732-38CC-428E-958A-A0C5A1D70C86}" name="Test Type" dataDxfId="87"/>
    <tableColumn id="5" xr3:uid="{051BE262-7730-4E76-A5C7-EB125442949D}" name="Expected Output" dataDxfId="86"/>
    <tableColumn id="6" xr3:uid="{C97DA538-1AB8-4E4C-8A73-651CD2019E10}" name="Actual output " dataDxfId="85"/>
    <tableColumn id="8" xr3:uid="{FD711288-A789-4CEA-9176-B6C441C8E6FE}" name="Test Date" dataDxfId="84">
      <calculatedColumnFormula>TestPlan21[[#This Row],[Date]]</calculatedColumnFormula>
    </tableColumn>
    <tableColumn id="9" xr3:uid="{7B77A138-52D7-42AC-926B-557BFD2B3FC8}" name="Actual Output" dataDxfId="83"/>
    <tableColumn id="10" xr3:uid="{8BE0D830-6874-4EF2-A074-8DA11BCA8AA2}" name="Comments on Discrepancies" dataDxfId="82"/>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EA57B3E-1987-43C4-8442-CAF3134450C1}" name="TestPlan18" displayName="TestPlan18" ref="A4:K9" totalsRowShown="0" headerRowDxfId="81" dataDxfId="79" headerRowBorderDxfId="80" tableBorderDxfId="78">
  <autoFilter ref="A4:K9" xr:uid="{AF227A70-7EC3-4797-B7CE-35CF7BE01D4A}"/>
  <tableColumns count="11">
    <tableColumn id="1" xr3:uid="{EC77B91C-6847-43BD-A712-D36967BCA2F3}" name="Test No" dataDxfId="77"/>
    <tableColumn id="2" xr3:uid="{51CB6D92-FE67-4ADD-AE62-E67C43A317EE}" name="Date" dataDxfId="76"/>
    <tableColumn id="3" xr3:uid="{87A47BA0-70C6-4ABF-BB65-83E606DE3540}" name="Purpose/Type of test_x000a_Test Condition" dataDxfId="75"/>
    <tableColumn id="4" xr3:uid="{F9A8FFF9-39C7-455A-AAFB-BCB004AC0041}" name="Test Sub Category No" dataDxfId="74"/>
    <tableColumn id="12" xr3:uid="{1FD66A3E-8F3D-4D79-8B4B-79848142AED2}" name="Test Type" dataDxfId="73"/>
    <tableColumn id="5" xr3:uid="{2F080FB4-A69A-49CE-BBCE-12F7223033D4}" name="Input/filename/SQL Query" dataDxfId="72"/>
    <tableColumn id="6" xr3:uid="{2E936253-88DD-4D9C-94C2-A9D551F78289}" name="Expected output " dataDxfId="71"/>
    <tableColumn id="7" xr3:uid="{C037061E-04D0-4D68-A654-6A55801482A7}" name="Test No2" dataDxfId="70"/>
    <tableColumn id="8" xr3:uid="{3D3799CC-02A2-43BC-9E0B-3F1D6A917B03}" name="Test Date" dataDxfId="69">
      <calculatedColumnFormula>TestPlan18[[#This Row],[Date]]</calculatedColumnFormula>
    </tableColumn>
    <tableColumn id="9" xr3:uid="{D2B18E48-D898-4D53-BCFD-607BEEB6610F}" name="Actual Output" dataDxfId="68"/>
    <tableColumn id="10" xr3:uid="{25C268A8-A287-4CD2-9DED-839BBF3243C1}" name="Comments on Discrepancies" dataDxfId="6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C8A3FED-0AAB-4F8A-AFD6-EC5536A82D4D}" name="TestPlan19" displayName="TestPlan19" ref="A4:K8" totalsRowShown="0" headerRowDxfId="66" dataDxfId="64" headerRowBorderDxfId="65" tableBorderDxfId="63">
  <autoFilter ref="A4:K8" xr:uid="{1C8A3FED-0AAB-4F8A-AFD6-EC5536A82D4D}"/>
  <tableColumns count="11">
    <tableColumn id="1" xr3:uid="{8B246080-3E1C-4E27-AC1A-953A2D93BA53}" name="Test No" dataDxfId="62"/>
    <tableColumn id="2" xr3:uid="{2DD38A42-F27E-4D8C-9FED-5C2D7DF5973B}" name="Date" dataDxfId="61"/>
    <tableColumn id="3" xr3:uid="{E234E97B-409F-4BA1-B166-D7166E144DF7}" name="Purpose/Type of test_x000a_Test Condition" dataDxfId="60"/>
    <tableColumn id="11" xr3:uid="{A0345DD3-060A-4022-99B4-8DC1D0EF7C13}" name="Input/ Filename/ SQL Query" dataDxfId="59"/>
    <tableColumn id="4" xr3:uid="{03F3F3C7-2827-4B38-8C67-15C31C030835}" name="Test Sub Category No" dataDxfId="58"/>
    <tableColumn id="12" xr3:uid="{3B33EEF5-A000-4FBD-90D3-629B16B9164A}" name="Test Type" dataDxfId="57"/>
    <tableColumn id="5" xr3:uid="{9528A339-10F9-4C78-AD4E-E635218E9964}" name="Expected Output" dataDxfId="56"/>
    <tableColumn id="6" xr3:uid="{BCDF4538-0457-4B66-AB7D-9957614E7C41}" name="Actual output " dataDxfId="55"/>
    <tableColumn id="8" xr3:uid="{9FA1987F-28F0-4661-8328-78BE39406AEB}" name="Test Date" dataDxfId="54">
      <calculatedColumnFormula>TestPlan19[[#This Row],[Date]]</calculatedColumnFormula>
    </tableColumn>
    <tableColumn id="9" xr3:uid="{39CF1E76-C524-44F9-A62E-39B653FD7A10}" name="Actual Output" dataDxfId="53"/>
    <tableColumn id="10" xr3:uid="{FF0CEDD2-13E5-4ED0-B598-F69B76284EC6}" name="Comments on Discrepancies" dataDxfId="5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EDCE946-46B8-4A51-9772-38E9598FC9B8}" name="TestPlan22" displayName="TestPlan22" ref="A4:K6" totalsRowShown="0" headerRowDxfId="51" dataDxfId="49" headerRowBorderDxfId="50" tableBorderDxfId="48">
  <autoFilter ref="A4:K6" xr:uid="{FEDCE946-46B8-4A51-9772-38E9598FC9B8}"/>
  <tableColumns count="11">
    <tableColumn id="1" xr3:uid="{56492888-08F4-4522-B586-C4752067EA9C}" name="Test No" dataDxfId="47"/>
    <tableColumn id="2" xr3:uid="{E723D041-C03A-45AF-94E7-9D23D77C442A}" name="Date" dataDxfId="46"/>
    <tableColumn id="3" xr3:uid="{DC09DD05-CA6C-492C-9ECA-6BAE395A338B}" name="Purpose/Type of test_x000a_Test Condition" dataDxfId="45"/>
    <tableColumn id="11" xr3:uid="{1CD836B6-ADB3-4082-8461-A0E60D9D41E6}" name="Input/ Filename/ SQL Query" dataDxfId="44"/>
    <tableColumn id="4" xr3:uid="{FFE8D4C0-B2FE-4351-9604-8C9ED9CCDFCD}" name="Test Sub Category No" dataDxfId="43">
      <calculatedColumnFormula>TestPlan22[[#This Row],[Test No]]</calculatedColumnFormula>
    </tableColumn>
    <tableColumn id="12" xr3:uid="{BEA13747-3585-4BF4-B45F-0D654759B08C}" name="Test Type" dataDxfId="42"/>
    <tableColumn id="5" xr3:uid="{56E93DBF-78BE-430B-AA6D-EE618E5F05B6}" name="Expected Output" dataDxfId="41"/>
    <tableColumn id="6" xr3:uid="{C09E2AD2-579B-44BB-9D45-16839572C942}" name="Actual output " dataDxfId="40"/>
    <tableColumn id="8" xr3:uid="{950F2A21-2A5A-4B7F-A7D8-F1133586738E}" name="Test Date" dataDxfId="39">
      <calculatedColumnFormula>TestPlan22[[#This Row],[Date]]</calculatedColumnFormula>
    </tableColumn>
    <tableColumn id="9" xr3:uid="{93A36839-14B1-404A-8E29-C96B7FC0B232}" name="Actual Output" dataDxfId="38"/>
    <tableColumn id="10" xr3:uid="{2B62C90F-FCDB-4CCB-91CC-28E4C065E523}" name="Comments on Discrepancies" dataDxfId="37"/>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14CACE9-7F4F-41F3-A535-A42B712F9964}" name="TestReport" displayName="TestReport" ref="A1:F2" totalsRowShown="0" headerRowDxfId="36">
  <autoFilter ref="A1:F2" xr:uid="{C14CACE9-7F4F-41F3-A535-A42B712F9964}"/>
  <tableColumns count="6">
    <tableColumn id="1" xr3:uid="{C45C78E7-E045-4CA9-B46D-DECB5343B8D5}" name="Test No"/>
    <tableColumn id="2" xr3:uid="{48EDA140-D520-4B05-A078-52F07D9D7BA0}" name="Date" dataDxfId="35"/>
    <tableColumn id="3" xr3:uid="{28D393F8-9FC8-42E3-A976-39CDEE46E49D}" name="Functional - Non Functional"/>
    <tableColumn id="4" xr3:uid="{9610924D-9404-44F4-AF45-2CAB8A22FF62}" name="Severity"/>
    <tableColumn id="5" xr3:uid="{C76468D7-5F6F-4D1C-895E-143FD91F00B9}" name="Comments / Recommendations" dataDxfId="34"/>
    <tableColumn id="6" xr3:uid="{48176AC0-F185-47BA-8364-1595279DF9DD}" name="Backlog" dataDxfId="33">
      <calculatedColumnFormula>IFERROR(_xlfn.XLOOKUP(TestReport[[#This Row],[Severity]],SeverityReport[Test Severity No],SeverityReport[Backlog]),"")</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5813FD5-2F66-4C55-8230-3DEC5EBE84EF}" name="Carpet_Test" displayName="Carpet_Test" ref="A1:Q14" totalsRowShown="0" headerRowDxfId="32" dataDxfId="30" headerRowBorderDxfId="31" tableBorderDxfId="29" totalsRowBorderDxfId="28">
  <autoFilter ref="A1:Q14" xr:uid="{05813FD5-2F66-4C55-8230-3DEC5EBE84EF}"/>
  <tableColumns count="17">
    <tableColumn id="1" xr3:uid="{AB3B5C95-64DF-4940-AD30-C2ADB37A674C}" name="Test_No" dataDxfId="27"/>
    <tableColumn id="2" xr3:uid="{0447E2F9-6A0D-4A99-A4E6-83FFA7DA83BF}" name="Membership_Type" dataDxfId="26"/>
    <tableColumn id="3" xr3:uid="{845551FF-B54D-455C-92F5-AA683DC7DA33}" name="Age_Range" dataDxfId="25"/>
    <tableColumn id="17" xr3:uid="{251F8584-ABAD-4DDA-BBC6-5CCCF09FDBE1}" name="Family_Member?" dataDxfId="24"/>
    <tableColumn id="16" xr3:uid="{58587900-498D-48AA-BFCA-6AC0D572067F}" name="Monthly_Duration" dataDxfId="23"/>
    <tableColumn id="18" xr3:uid="{F05DDCEF-7C8F-4060-9F10-A73789AAAD6B}" name="Member_Visits" dataDxfId="22"/>
    <tableColumn id="4" xr3:uid="{D4308486-CFA3-4A0D-BD16-FAFDDA5DE8CF}" name="Basic_Membership_Cost" dataDxfId="21">
      <calculatedColumnFormula>IF(Carpet_Test[[#This Row],[Membership_Type]]="Full", 400,IF(Carpet_Test[[#This Row],[Membership_Type]]= "Country", 200,IF(Carpet_Test[[#This Row],[Membership_Type]] = "Day",275,0)))</calculatedColumnFormula>
    </tableColumn>
    <tableColumn id="11" xr3:uid="{05F01637-7188-4CE2-A22A-874893BF9C16}" name="Payment_Method" dataDxfId="20"/>
    <tableColumn id="5" xr3:uid="{B5B54AA3-E2D7-4A56-8FF7-5DA783F749D1}" name="Age_Discount_Due%" dataDxfId="19">
      <calculatedColumnFormula>IF(AND(Carpet_Test[[#This Row],[Membership_Type]]="Full", Carpet_Test[[#This Row],[Age_Range]] = "41-80"), 0.2,IF(AND(Carpet_Test[[#This Row],[Membership_Type]] = "Day", Carpet_Test[[#This Row],[Age_Range]] = "41-80"), 0.15,0))</calculatedColumnFormula>
    </tableColumn>
    <tableColumn id="6" xr3:uid="{A430DFC6-0A73-4BD2-B52F-5A32D1F3F93E}" name="Age_Discount_Applied" dataDxfId="18">
      <calculatedColumnFormula>Carpet_Test[[#This Row],[Basic_Membership_Cost]]*Carpet_Test[[#This Row],[Age_Discount_Due%]]</calculatedColumnFormula>
    </tableColumn>
    <tableColumn id="13" xr3:uid="{74C3AA62-97EB-4D66-9A18-C2D69AB81401}" name="Yearly_Cost" dataDxfId="17">
      <calculatedColumnFormula>Carpet_Test[[#This Row],[Basic_Membership_Cost]]-Carpet_Test[[#This Row],[Age_Discount_Applied]]</calculatedColumnFormula>
    </tableColumn>
    <tableColumn id="7" xr3:uid="{39B02ABD-89FA-44AC-A667-2A3A9AC8BD93}" name="Family_Discount_Due" dataDxfId="16">
      <calculatedColumnFormula>IF(Carpet_Test[[#This Row],[Family_Member?]]="Yes",0.05,0)</calculatedColumnFormula>
    </tableColumn>
    <tableColumn id="8" xr3:uid="{B96DE565-646C-43A0-ABFA-104F9FDFD556}" name="Family_Discount_Applied" dataDxfId="15">
      <calculatedColumnFormula>Carpet_Test[[#This Row],[Family_Discount_Due]]*Carpet_Test[[#This Row],[Yearly_Cost]]</calculatedColumnFormula>
    </tableColumn>
    <tableColumn id="9" xr3:uid="{BEA81215-FB65-47F4-B9E8-492E603B291F}" name="Country_Member_ Charge" dataDxfId="14">
      <calculatedColumnFormula>IF(AND(Carpet_Test[[#This Row],[Membership_Type]]="Country", Carpet_Test[[#This Row],[Member_Visits]]&gt;40),20,0)</calculatedColumnFormula>
    </tableColumn>
    <tableColumn id="15" xr3:uid="{3CF4718A-B3ED-4AF0-9A4D-E4250D683CEF}" name="Rate_Due" dataDxfId="13">
      <calculatedColumnFormula>(((Carpet_Test[[#This Row],[Yearly_Cost]]/12)*Carpet_Test[[#This Row],[Monthly_Duration]]))-Carpet_Test[[#This Row],[Family_Discount_Applied]]+Carpet_Test[[#This Row],[Country_Member_ Charge]]</calculatedColumnFormula>
    </tableColumn>
    <tableColumn id="12" xr3:uid="{360953AD-5DFE-46EA-85E1-34662836170D}" name="Registration_Fee" dataDxfId="12">
      <calculatedColumnFormula>IF(Carpet_Test[[#This Row],[Payment_Method]] = "Monthly Installments",5,0)</calculatedColumnFormula>
    </tableColumn>
    <tableColumn id="14" xr3:uid="{060C1575-9ED3-42F3-ACB2-4F20120B1B04}" name="Monthly_Charge" dataDxfId="11">
      <calculatedColumnFormula>IF(Carpet_Test[[#This Row],[Payment_Method]]="Monthly Installments",(Carpet_Test[[#This Row],[Rate_Due]]/Carpet_Test[[#This Row],[Monthly_Duration]])+Carpet_Test[[#This Row],[Registration_Fee]],"")</calculatedColumnFormula>
    </tableColumn>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DBA0C69-AECC-436E-9433-112D37BBA20C}" name="Reg_Fee" displayName="Reg_Fee" ref="I13:I14" totalsRowShown="0" headerRowDxfId="10">
  <autoFilter ref="I13:I14" xr:uid="{5DBA0C69-AECC-436E-9433-112D37BBA20C}"/>
  <tableColumns count="1">
    <tableColumn id="1" xr3:uid="{A9C938D3-D21D-4F2E-B779-B1F133341508}" name="Registration Fee"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38C0976-C9C3-4414-A60A-AAF620489610}" name="Country_Max_Visits" displayName="Country_Max_Visits" ref="G13:G14" totalsRowShown="0" headerRowDxfId="8">
  <autoFilter ref="G13:G14" xr:uid="{438C0976-C9C3-4414-A60A-AAF620489610}"/>
  <tableColumns count="1">
    <tableColumn id="1" xr3:uid="{58D8896B-537C-4D12-B78F-8305801ED6E5}" name="Country Member Max Visit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3D59571-EB3D-402E-A429-65A1B90D228D}" name="ExceedMaxCosts" displayName="ExceedMaxCosts" ref="G16:G17" totalsRowShown="0" headerRowDxfId="7">
  <autoFilter ref="G16:G17" xr:uid="{33D59571-EB3D-402E-A429-65A1B90D228D}"/>
  <tableColumns count="1">
    <tableColumn id="1" xr3:uid="{9E3CD2AA-374C-4A5F-9D82-C7C25DE4A540}" name="Exceed Max Visist Cost" dataDxfId="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53949B6-9460-4D2B-9822-5BC8092AF734}" name="DiscountType" displayName="DiscountType" ref="J2:J5" totalsRowShown="0">
  <autoFilter ref="J2:J5" xr:uid="{C53949B6-9460-4D2B-9822-5BC8092AF734}"/>
  <tableColumns count="1">
    <tableColumn id="1" xr3:uid="{2B961272-E492-4BEE-9E87-F12BD44EC40D}" name="Discount" dataDxfId="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CFA1773-47DB-475A-8130-CC21FDFA6EAA}" name="MonthlyDuration" displayName="MonthlyDuration" ref="G2:G6" totalsRowShown="0" headerRowDxfId="4">
  <autoFilter ref="G2:G6" xr:uid="{ECFA1773-47DB-475A-8130-CC21FDFA6EAA}"/>
  <tableColumns count="1">
    <tableColumn id="1" xr3:uid="{2B7FB290-B8C1-471E-8761-69E1F069C6B2}" name="MonthlyDuratio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D075B9-3377-4949-8728-08786F5EA8A6}" name="MembershipType" displayName="MembershipType" ref="A2:C6" totalsRowShown="0" headerRowDxfId="3">
  <autoFilter ref="A2:C6" xr:uid="{95D075B9-3377-4949-8728-08786F5EA8A6}"/>
  <tableColumns count="3">
    <tableColumn id="1" xr3:uid="{81114646-47D1-45B9-A2DD-33749E435B9E}" name="Membership"/>
    <tableColumn id="2" xr3:uid="{3CAB4E44-D804-402E-BFAB-7E617ED4916C}" name="18-40" dataDxfId="2"/>
    <tableColumn id="3" xr3:uid="{3E9D8977-F808-4963-BC8F-97605E429EBD}" name="41 -80" dataDxfId="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FCCFC4F-CC47-41F9-9B63-8CFF2C3D05BD}" name="AgeRange" displayName="AgeRange" ref="G19:G21" totalsRowShown="0">
  <autoFilter ref="G19:G21" xr:uid="{0FCCFC4F-CC47-41F9-9B63-8CFF2C3D05BD}"/>
  <tableColumns count="1">
    <tableColumn id="1" xr3:uid="{D9EB0E35-528E-49D3-9D05-40ABE2DFD4DE}" name="AgeRang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8AE3627-71E7-4647-BD75-5A7852375D68}" name="FamilyMember" displayName="FamilyMember" ref="I17:I19" totalsRowShown="0">
  <autoFilter ref="I17:I19" xr:uid="{58AE3627-71E7-4647-BD75-5A7852375D68}"/>
  <tableColumns count="1">
    <tableColumn id="1" xr3:uid="{C8D99890-F3CC-4BD3-B53B-DA28B0F82C2F}" name="Family Member"/>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F7D2D9A-19A9-4FDF-ADEA-5C87E17AC156}" name="PaymentMethod" displayName="PaymentMethod" ref="K13:K15" totalsRowShown="0">
  <autoFilter ref="K13:K15" xr:uid="{4F7D2D9A-19A9-4FDF-ADEA-5C87E17AC156}"/>
  <tableColumns count="1">
    <tableColumn id="1" xr3:uid="{E51E5D4E-CBE4-4228-A0BA-47964CC0A4D5}" name="Payment Method"/>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7915B95-CCCD-4E4C-ABB4-2FA8760968C6}" name="FunctionalReport" displayName="FunctionalReport" ref="A13:A15" totalsRowShown="0">
  <autoFilter ref="A13:A15" xr:uid="{57915B95-CCCD-4E4C-ABB4-2FA8760968C6}"/>
  <tableColumns count="1">
    <tableColumn id="1" xr3:uid="{4129ED32-9524-41D0-8EEE-66BA4CA613C7}" name="Functional / Non Functional"/>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D2A9481-AFC5-46DD-8BE2-7D4337B44FB6}" name="SeverityReport" displayName="SeverityReport" ref="C13:E18" totalsRowShown="0">
  <autoFilter ref="C13:E18" xr:uid="{ED2A9481-AFC5-46DD-8BE2-7D4337B44FB6}"/>
  <tableColumns count="3">
    <tableColumn id="1" xr3:uid="{BEE0C67E-6604-48C1-887F-3CBDD2DCC9DA}" name="Test Severity No"/>
    <tableColumn id="2" xr3:uid="{50A6F2FC-6E95-4889-83B2-8D99F8096703}" name="Severity"/>
    <tableColumn id="3" xr3:uid="{B3D3E6E4-BBF9-4188-A41F-7EFC517A2644}" name="Backlog"/>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703A96-8A9D-4CD1-A120-1CF318CC5B59}" name="Output" displayName="Output" ref="A21:A31" totalsRowShown="0" headerRowDxfId="0">
  <autoFilter ref="A21:A31" xr:uid="{E0703A96-8A9D-4CD1-A120-1CF318CC5B59}"/>
  <tableColumns count="1">
    <tableColumn id="1" xr3:uid="{717C741F-3AA0-4C32-99EE-C6419E5DFE96}" name="Expected output "/>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812C50D-99F9-4449-9A92-7E7F84849DB0}" name="TestTypes" displayName="TestTypes" ref="C21:D24" totalsRowShown="0">
  <autoFilter ref="C21:D24" xr:uid="{8812C50D-99F9-4449-9A92-7E7F84849DB0}"/>
  <tableColumns count="2">
    <tableColumn id="1" xr3:uid="{2BBA35FE-2531-4E33-AEF3-628B6272273D}" name="TestTypes"/>
    <tableColumn id="2" xr3:uid="{5B274540-6D1C-45C9-B3B4-DAF8A0CCBF47}" name="Code"/>
  </tableColumns>
  <tableStyleInfo name="TableStyleMedium2" showFirstColumn="0" showLastColumn="0" showRowStripes="1" showColumnStripes="0"/>
</table>
</file>

<file path=xl/theme/theme1.xml><?xml version="1.0" encoding="utf-8"?>
<a:theme xmlns:a="http://schemas.openxmlformats.org/drawingml/2006/main" name="Badge">
  <a:themeElements>
    <a:clrScheme name="Badge">
      <a:dk1>
        <a:sysClr val="windowText" lastClr="000000"/>
      </a:dk1>
      <a:lt1>
        <a:sysClr val="window" lastClr="FFFFFF"/>
      </a:lt1>
      <a:dk2>
        <a:srgbClr val="2A1A00"/>
      </a:dk2>
      <a:lt2>
        <a:srgbClr val="F3F3F2"/>
      </a:lt2>
      <a:accent1>
        <a:srgbClr val="F8B323"/>
      </a:accent1>
      <a:accent2>
        <a:srgbClr val="656A59"/>
      </a:accent2>
      <a:accent3>
        <a:srgbClr val="46B2B5"/>
      </a:accent3>
      <a:accent4>
        <a:srgbClr val="8CAA7E"/>
      </a:accent4>
      <a:accent5>
        <a:srgbClr val="D36F68"/>
      </a:accent5>
      <a:accent6>
        <a:srgbClr val="826276"/>
      </a:accent6>
      <a:hlink>
        <a:srgbClr val="46B2B5"/>
      </a:hlink>
      <a:folHlink>
        <a:srgbClr val="A46694"/>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Badg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EF322-C1E6-4963-8FE5-6CF12F7E273B}">
  <dimension ref="A1:AR374"/>
  <sheetViews>
    <sheetView workbookViewId="0">
      <pane ySplit="1" topLeftCell="A2" activePane="bottomLeft" state="frozen"/>
      <selection pane="bottomLeft" activeCell="B29" sqref="B29"/>
    </sheetView>
  </sheetViews>
  <sheetFormatPr defaultRowHeight="15" x14ac:dyDescent="0.25"/>
  <cols>
    <col min="2" max="2" width="255.7109375" bestFit="1" customWidth="1"/>
  </cols>
  <sheetData>
    <row r="1" spans="1:44" ht="23.25" x14ac:dyDescent="0.35">
      <c r="A1" s="1"/>
      <c r="B1" s="73" t="s">
        <v>103</v>
      </c>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row>
    <row r="2" spans="1:44" x14ac:dyDescent="0.25">
      <c r="A2" s="1"/>
      <c r="B2" s="67"/>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3" spans="1:44" ht="15.75" x14ac:dyDescent="0.25">
      <c r="A3" s="1"/>
      <c r="B3" s="72" t="s">
        <v>104</v>
      </c>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row>
    <row r="4" spans="1:44" x14ac:dyDescent="0.25">
      <c r="A4" s="1">
        <v>1</v>
      </c>
      <c r="B4" s="70" t="s">
        <v>105</v>
      </c>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row>
    <row r="5" spans="1:44" x14ac:dyDescent="0.25">
      <c r="A5" s="1">
        <v>2</v>
      </c>
      <c r="B5" s="70" t="s">
        <v>123</v>
      </c>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row>
    <row r="6" spans="1:44" x14ac:dyDescent="0.25">
      <c r="A6" s="1">
        <v>3</v>
      </c>
      <c r="B6" s="70" t="s">
        <v>124</v>
      </c>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row>
    <row r="7" spans="1:44" x14ac:dyDescent="0.25">
      <c r="A7" s="1">
        <v>4</v>
      </c>
      <c r="B7" s="70" t="s">
        <v>125</v>
      </c>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row>
    <row r="8" spans="1:44" x14ac:dyDescent="0.25">
      <c r="A8" s="1">
        <v>5</v>
      </c>
      <c r="B8" s="71" t="s">
        <v>126</v>
      </c>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row>
    <row r="9" spans="1:44" x14ac:dyDescent="0.25">
      <c r="A9" s="1">
        <v>6</v>
      </c>
      <c r="B9" s="71" t="s">
        <v>127</v>
      </c>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row>
    <row r="10" spans="1:44" x14ac:dyDescent="0.25">
      <c r="A10" s="1"/>
      <c r="B10" s="67"/>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row>
    <row r="11" spans="1:44" ht="15.75" x14ac:dyDescent="0.25">
      <c r="A11" s="1"/>
      <c r="B11" s="72" t="s">
        <v>106</v>
      </c>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row>
    <row r="12" spans="1:44" x14ac:dyDescent="0.25">
      <c r="A12" s="1">
        <v>1</v>
      </c>
      <c r="B12" s="71" t="s">
        <v>107</v>
      </c>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row>
    <row r="13" spans="1:44" x14ac:dyDescent="0.25">
      <c r="A13" s="1">
        <v>2</v>
      </c>
      <c r="B13" s="71" t="s">
        <v>108</v>
      </c>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row>
    <row r="14" spans="1:44" x14ac:dyDescent="0.25">
      <c r="A14" s="1">
        <v>3</v>
      </c>
      <c r="B14" s="71" t="s">
        <v>121</v>
      </c>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row>
    <row r="15" spans="1:44" x14ac:dyDescent="0.25">
      <c r="A15" s="1">
        <v>4</v>
      </c>
      <c r="B15" s="70" t="s">
        <v>122</v>
      </c>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row>
    <row r="16" spans="1:44" ht="15.75" x14ac:dyDescent="0.25">
      <c r="A16" s="1"/>
      <c r="B16" s="68"/>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row>
    <row r="17" spans="1:44" x14ac:dyDescent="0.25">
      <c r="A17" s="1"/>
      <c r="B17" s="69" t="s">
        <v>109</v>
      </c>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row>
    <row r="18" spans="1:44" x14ac:dyDescent="0.25">
      <c r="A18" s="1"/>
      <c r="B18" s="71" t="s">
        <v>110</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row>
    <row r="19" spans="1:44" x14ac:dyDescent="0.25">
      <c r="A19" s="1"/>
      <c r="B19" s="71" t="s">
        <v>111</v>
      </c>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row>
    <row r="20" spans="1:44" x14ac:dyDescent="0.25">
      <c r="A20" s="1"/>
      <c r="B20" s="71" t="s">
        <v>21</v>
      </c>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row>
    <row r="21" spans="1:44" x14ac:dyDescent="0.25">
      <c r="A21" s="1"/>
      <c r="B21" s="71" t="s">
        <v>22</v>
      </c>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row>
    <row r="22" spans="1:44" x14ac:dyDescent="0.25">
      <c r="A22" s="1"/>
      <c r="B22" s="71" t="s">
        <v>23</v>
      </c>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row>
    <row r="23" spans="1:44" x14ac:dyDescent="0.25">
      <c r="A23" s="1"/>
      <c r="B23" s="71" t="s">
        <v>24</v>
      </c>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row>
    <row r="24" spans="1:44" x14ac:dyDescent="0.25">
      <c r="A24" s="1"/>
      <c r="B24" s="71" t="s">
        <v>25</v>
      </c>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row>
    <row r="25" spans="1:44" ht="15.75" x14ac:dyDescent="0.25">
      <c r="A25" s="1"/>
      <c r="B25" s="68" t="s">
        <v>24</v>
      </c>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row>
    <row r="26" spans="1:44" ht="15.75" x14ac:dyDescent="0.25">
      <c r="A26" s="1"/>
      <c r="B26" s="68"/>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row>
    <row r="27" spans="1:44" ht="15.75" x14ac:dyDescent="0.25">
      <c r="A27" s="1"/>
      <c r="B27" s="74" t="s">
        <v>112</v>
      </c>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row>
    <row r="28" spans="1:44" x14ac:dyDescent="0.25">
      <c r="A28" s="1">
        <v>1</v>
      </c>
      <c r="B28" s="71" t="s">
        <v>86</v>
      </c>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row>
    <row r="29" spans="1:44" x14ac:dyDescent="0.25">
      <c r="A29" s="1">
        <v>2</v>
      </c>
      <c r="B29" s="71" t="s">
        <v>27</v>
      </c>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row>
    <row r="30" spans="1:44" x14ac:dyDescent="0.25">
      <c r="A30" s="1">
        <v>3</v>
      </c>
      <c r="B30" s="70" t="s">
        <v>28</v>
      </c>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row>
    <row r="31" spans="1:44" x14ac:dyDescent="0.25">
      <c r="A31" s="1">
        <v>4</v>
      </c>
      <c r="B31" s="70" t="s">
        <v>29</v>
      </c>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row>
    <row r="32" spans="1:44" x14ac:dyDescent="0.25">
      <c r="A32" s="1">
        <v>5</v>
      </c>
      <c r="B32" s="70" t="s">
        <v>59</v>
      </c>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row>
    <row r="33" spans="1:44" x14ac:dyDescent="0.25">
      <c r="A33" s="1"/>
      <c r="B33" s="70"/>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row>
    <row r="34" spans="1:44" x14ac:dyDescent="0.25">
      <c r="A34" s="1"/>
      <c r="B34" s="70"/>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row>
    <row r="35" spans="1:44" ht="15.75" x14ac:dyDescent="0.25">
      <c r="A35" s="1"/>
      <c r="B35" s="72" t="s">
        <v>113</v>
      </c>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row>
    <row r="36" spans="1:44" x14ac:dyDescent="0.25">
      <c r="A36" s="1"/>
      <c r="B36" s="75" t="s">
        <v>26</v>
      </c>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row>
    <row r="37" spans="1:44" x14ac:dyDescent="0.25">
      <c r="A37" s="1"/>
      <c r="B37" s="70" t="s">
        <v>114</v>
      </c>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row>
    <row r="38" spans="1:44" x14ac:dyDescent="0.25">
      <c r="A38" s="1"/>
      <c r="B38" s="70"/>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row>
    <row r="39" spans="1:44" x14ac:dyDescent="0.25">
      <c r="A39" s="1"/>
      <c r="B39" s="75" t="s">
        <v>115</v>
      </c>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row>
    <row r="40" spans="1:44" x14ac:dyDescent="0.25">
      <c r="A40" s="1"/>
      <c r="B40" s="1" t="s">
        <v>119</v>
      </c>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row>
    <row r="41" spans="1:4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row>
    <row r="42" spans="1:44" x14ac:dyDescent="0.25">
      <c r="A42" s="1"/>
      <c r="B42" s="75" t="s">
        <v>38</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row>
    <row r="43" spans="1:44" x14ac:dyDescent="0.25">
      <c r="A43" s="1"/>
      <c r="B43" s="1" t="s">
        <v>116</v>
      </c>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row>
    <row r="44" spans="1:44" x14ac:dyDescent="0.25">
      <c r="A44" s="1"/>
      <c r="B44" s="1" t="s">
        <v>117</v>
      </c>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row>
    <row r="45" spans="1:44" x14ac:dyDescent="0.25">
      <c r="A45" s="1"/>
      <c r="B45" s="1" t="s">
        <v>118</v>
      </c>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row>
    <row r="46" spans="1:4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x14ac:dyDescent="0.25">
      <c r="A49" s="1"/>
      <c r="B49" s="1" t="s">
        <v>129</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x14ac:dyDescent="0.25">
      <c r="A50" s="1"/>
      <c r="B50" s="1" t="s">
        <v>130</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x14ac:dyDescent="0.25">
      <c r="A51" s="1"/>
      <c r="B51" s="1" t="s">
        <v>131</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x14ac:dyDescent="0.25">
      <c r="A52" s="1"/>
      <c r="B52" s="1" t="s">
        <v>132</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x14ac:dyDescent="0.25">
      <c r="A55" s="1"/>
      <c r="B55" s="1" t="s">
        <v>133</v>
      </c>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x14ac:dyDescent="0.25">
      <c r="A56" s="1"/>
      <c r="B56" s="1" t="s">
        <v>134</v>
      </c>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x14ac:dyDescent="0.25">
      <c r="A57" s="1"/>
      <c r="B57" s="1" t="s">
        <v>135</v>
      </c>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row>
    <row r="58" spans="1:44"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row>
    <row r="59" spans="1:44" x14ac:dyDescent="0.25">
      <c r="A59" s="1"/>
      <c r="B59" s="1" t="s">
        <v>136</v>
      </c>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x14ac:dyDescent="0.25">
      <c r="A60" s="1"/>
      <c r="B60" s="1" t="s">
        <v>137</v>
      </c>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row>
    <row r="62" spans="1:44" x14ac:dyDescent="0.25">
      <c r="A62" s="1"/>
      <c r="B62" s="1" t="s">
        <v>138</v>
      </c>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row>
    <row r="63" spans="1:44" x14ac:dyDescent="0.25">
      <c r="A63" s="1"/>
      <c r="B63" s="1" t="s">
        <v>139</v>
      </c>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row>
    <row r="64" spans="1:44"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row>
    <row r="65" spans="1:44" x14ac:dyDescent="0.25">
      <c r="A65" s="1"/>
      <c r="B65" s="1" t="s">
        <v>140</v>
      </c>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row>
    <row r="66" spans="1:44" x14ac:dyDescent="0.25">
      <c r="A66" s="1"/>
      <c r="B66" s="1" t="s">
        <v>141</v>
      </c>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row>
    <row r="67" spans="1:44"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1:44" x14ac:dyDescent="0.25">
      <c r="A68" s="1"/>
      <c r="B68" s="1" t="s">
        <v>142</v>
      </c>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1:44" x14ac:dyDescent="0.25">
      <c r="A69" s="1"/>
      <c r="B69" s="1" t="s">
        <v>143</v>
      </c>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1:44"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1:44" x14ac:dyDescent="0.25">
      <c r="A71" s="1"/>
      <c r="B71" s="1" t="s">
        <v>36</v>
      </c>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1:44" x14ac:dyDescent="0.25">
      <c r="A72" s="1"/>
      <c r="B72" s="1" t="s">
        <v>144</v>
      </c>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1:44"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1:44" x14ac:dyDescent="0.25">
      <c r="A74" s="1"/>
      <c r="B74" s="1" t="s">
        <v>145</v>
      </c>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1:44" x14ac:dyDescent="0.25">
      <c r="A75" s="1"/>
      <c r="B75" s="1" t="s">
        <v>146</v>
      </c>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1:44" x14ac:dyDescent="0.25">
      <c r="A76" s="1"/>
      <c r="B76" s="1" t="s">
        <v>147</v>
      </c>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1:44"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1:44"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1:44" x14ac:dyDescent="0.25">
      <c r="A79" s="1"/>
      <c r="B79" s="1" t="s">
        <v>148</v>
      </c>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row>
    <row r="80" spans="1:44"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row>
    <row r="81" spans="1:44" x14ac:dyDescent="0.25">
      <c r="A81" s="1"/>
      <c r="B81" s="1" t="s">
        <v>149</v>
      </c>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row>
    <row r="82" spans="1:44"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row>
    <row r="83" spans="1:44" x14ac:dyDescent="0.25">
      <c r="A83" s="1"/>
      <c r="B83" s="1" t="s">
        <v>150</v>
      </c>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row>
    <row r="84" spans="1:44" x14ac:dyDescent="0.25">
      <c r="A84" s="1"/>
      <c r="B84" s="1" t="s">
        <v>151</v>
      </c>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row>
    <row r="85" spans="1:44"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row>
    <row r="86" spans="1:44"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row>
    <row r="87" spans="1:44"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row>
    <row r="88" spans="1:44"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row>
    <row r="89" spans="1:44"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row>
    <row r="90" spans="1:44"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row>
    <row r="91" spans="1:44"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row>
    <row r="92" spans="1:44"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row>
    <row r="93" spans="1:44"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row>
    <row r="94" spans="1:44"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row>
    <row r="95" spans="1:44"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row>
    <row r="96" spans="1:44"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row>
    <row r="97" spans="1:43"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row>
    <row r="98" spans="1:43"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row>
    <row r="99" spans="1:43"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row>
    <row r="100" spans="1:43"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row>
    <row r="101" spans="1:43"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row>
    <row r="102" spans="1:43"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row>
    <row r="103" spans="1:43"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row>
    <row r="104" spans="1:43"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row>
    <row r="105" spans="1:43"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row>
    <row r="106" spans="1:43"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row>
    <row r="107" spans="1:43"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row>
    <row r="108" spans="1:43"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row>
    <row r="109" spans="1:43"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row>
    <row r="110" spans="1:43"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row>
    <row r="111" spans="1:43"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row>
    <row r="112" spans="1:43"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row>
    <row r="113" spans="1:43"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row>
    <row r="114" spans="1:43"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row>
    <row r="115" spans="1:43"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row>
    <row r="116" spans="1:43"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row>
    <row r="117" spans="1:43"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row>
    <row r="118" spans="1:43"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row>
    <row r="119" spans="1:43"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row>
    <row r="120" spans="1:43"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row>
    <row r="121" spans="1:43"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row>
    <row r="122" spans="1:43"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row>
    <row r="123" spans="1:43"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row>
    <row r="124" spans="1:43"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row>
    <row r="125" spans="1:43"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row>
    <row r="126" spans="1:43"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row>
    <row r="127" spans="1:43"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row>
    <row r="128" spans="1:43"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row>
    <row r="129" spans="1:43"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row>
    <row r="130" spans="1:43"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row>
    <row r="131" spans="1:43"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row>
    <row r="132" spans="1:43"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row>
    <row r="133" spans="1:43"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row>
    <row r="134" spans="1:43"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row>
    <row r="135" spans="1:43"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row>
    <row r="136" spans="1:43"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row>
    <row r="137" spans="1:43"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row>
    <row r="138" spans="1:43"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row>
    <row r="139" spans="1:43"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row>
    <row r="140" spans="1:43"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row>
    <row r="141" spans="1:43"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row>
    <row r="142" spans="1:43"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row>
    <row r="143" spans="1:43"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row>
    <row r="144" spans="1:43"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row>
    <row r="145" spans="1:43"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row>
    <row r="146" spans="1:43"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row>
    <row r="147" spans="1:43"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row>
    <row r="148" spans="1:43"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row>
    <row r="149" spans="1:43"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row>
    <row r="150" spans="1:43"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row>
    <row r="151" spans="1:43"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row>
    <row r="152" spans="1:43"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row>
    <row r="153" spans="1:43"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row>
    <row r="154" spans="1:43"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row>
    <row r="155" spans="1:43"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row>
    <row r="156" spans="1:43"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row>
    <row r="157" spans="1:43"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row>
    <row r="158" spans="1:43"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row>
    <row r="159" spans="1:43"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row>
    <row r="160" spans="1:43"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row>
    <row r="161" spans="1:43"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row>
    <row r="162" spans="1:43"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row>
    <row r="163" spans="1:43"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row>
    <row r="164" spans="1:43"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row>
    <row r="165" spans="1:43"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row>
    <row r="166" spans="1:43"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row>
    <row r="167" spans="1:43"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row>
    <row r="168" spans="1:43"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row>
    <row r="169" spans="1:43"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row>
    <row r="170" spans="1:43"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row>
    <row r="171" spans="1:43"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row>
    <row r="172" spans="1:43"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row>
    <row r="173" spans="1:43"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row>
    <row r="174" spans="1:43"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row>
    <row r="175" spans="1:43"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row>
    <row r="176" spans="1:43"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row>
    <row r="177" spans="1:43"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row>
    <row r="178" spans="1:43"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row>
    <row r="179" spans="1:43"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row>
    <row r="180" spans="1:43"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row>
    <row r="181" spans="1:43"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row>
    <row r="182" spans="1:43"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row>
    <row r="183" spans="1:43"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row>
    <row r="184" spans="1:43"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row>
    <row r="185" spans="1:43"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row>
    <row r="186" spans="1:43"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row>
    <row r="187" spans="1:43"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row>
    <row r="188" spans="1:43"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row>
    <row r="189" spans="1:43"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row>
    <row r="190" spans="1:43"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row>
    <row r="191" spans="1:43"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row>
    <row r="192" spans="1:43"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row>
    <row r="193" spans="1:43"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row>
    <row r="194" spans="1:43"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row>
    <row r="195" spans="1:43"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row>
    <row r="196" spans="1:43"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row>
    <row r="197" spans="1:43"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row>
    <row r="198" spans="1:43"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row>
    <row r="199" spans="1:43"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row>
    <row r="200" spans="1:43"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row>
    <row r="201" spans="1:43"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row>
    <row r="202" spans="1:43"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row>
    <row r="203" spans="1:43"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row>
    <row r="204" spans="1:43"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row>
    <row r="205" spans="1:43"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row>
    <row r="206" spans="1:43"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row>
    <row r="207" spans="1:43"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row>
    <row r="208" spans="1:43"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row>
    <row r="209" spans="1:43"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row>
    <row r="210" spans="1:43"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row>
    <row r="211" spans="1:43"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row>
    <row r="212" spans="1:43"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row>
    <row r="213" spans="1:43"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row>
    <row r="214" spans="1:43"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row>
    <row r="215" spans="1:43"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row>
    <row r="216" spans="1:43"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row>
    <row r="217" spans="1:43"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row>
    <row r="218" spans="1:43"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row>
    <row r="219" spans="1:43"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row>
    <row r="220" spans="1:43"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row>
    <row r="221" spans="1:43"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row>
    <row r="222" spans="1:43"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row>
    <row r="223" spans="1:43"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row>
    <row r="224" spans="1:43"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row>
    <row r="225" spans="1:43"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row>
    <row r="226" spans="1:43"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row>
    <row r="227" spans="1:43"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row>
    <row r="228" spans="1:43"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row>
    <row r="229" spans="1:43"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row>
    <row r="230" spans="1:43"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row>
    <row r="231" spans="1:43"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row>
    <row r="232" spans="1:43"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row>
    <row r="233" spans="1:43"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row>
    <row r="234" spans="1:43"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row>
    <row r="235" spans="1:43"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row>
    <row r="236" spans="1:43"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row>
    <row r="237" spans="1:43"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row>
    <row r="238" spans="1:43"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row>
    <row r="239" spans="1:43"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row>
    <row r="240" spans="1:43"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row>
    <row r="241" spans="1:43"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row>
    <row r="242" spans="1:43"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row>
    <row r="243" spans="1:43"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row>
    <row r="244" spans="1:43"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row>
    <row r="245" spans="1:43"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row>
    <row r="246" spans="1:43"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row>
    <row r="247" spans="1:43"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row>
    <row r="248" spans="1:43"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row>
    <row r="249" spans="1:43"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row>
    <row r="250" spans="1:43"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row>
    <row r="251" spans="1:43"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row>
    <row r="252" spans="1:43"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row>
    <row r="253" spans="1:43"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row>
    <row r="254" spans="1:43"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row>
    <row r="255" spans="1:43"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row>
    <row r="256" spans="1:43"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row>
    <row r="257" spans="1:43"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row>
    <row r="258" spans="1:43"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row>
    <row r="259" spans="1:43"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row>
    <row r="260" spans="1:43"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row>
    <row r="261" spans="1:43"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row>
    <row r="262" spans="1:43"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row>
    <row r="263" spans="1:43"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row>
    <row r="264" spans="1:43"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row>
    <row r="265" spans="1:43"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row>
    <row r="266" spans="1:43"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row>
    <row r="267" spans="1:43"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row>
    <row r="268" spans="1:43"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row>
    <row r="269" spans="1:43"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row>
    <row r="270" spans="1:43"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row>
    <row r="271" spans="1:43"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row>
    <row r="272" spans="1:43"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row>
    <row r="273" spans="1:43"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row>
    <row r="274" spans="1:43"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row>
    <row r="275" spans="1:43"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row>
    <row r="276" spans="1:43"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row>
    <row r="277" spans="1:43"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row>
    <row r="278" spans="1:43"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row>
    <row r="279" spans="1:43"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row>
    <row r="280" spans="1:43"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row>
    <row r="281" spans="1:43"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row>
    <row r="282" spans="1:43"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row>
    <row r="283" spans="1:43"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row>
    <row r="284" spans="1:43"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row>
    <row r="285" spans="1:43"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row>
    <row r="286" spans="1:43"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row>
    <row r="287" spans="1:43"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row>
    <row r="288" spans="1:43"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row>
    <row r="289" spans="1:43"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row>
    <row r="290" spans="1:43"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row>
    <row r="291" spans="1:43"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row>
    <row r="292" spans="1:43"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row>
    <row r="293" spans="1:43"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row>
    <row r="294" spans="1:43"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row>
    <row r="295" spans="1:43"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row>
    <row r="296" spans="1:43"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row>
    <row r="297" spans="1:43"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row>
    <row r="298" spans="1:43"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row>
    <row r="299" spans="1:43"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row>
    <row r="300" spans="1:43"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row>
    <row r="301" spans="1:43"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row>
    <row r="302" spans="1:43"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row>
    <row r="303" spans="1:43"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row>
    <row r="304" spans="1:43"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row>
    <row r="305" spans="1:43"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row>
    <row r="306" spans="1:43"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row>
    <row r="307" spans="1:43"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row>
    <row r="308" spans="1:43"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row>
    <row r="309" spans="1:43"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row>
    <row r="310" spans="1:43"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row>
    <row r="311" spans="1:43"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row>
    <row r="312" spans="1:43"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row>
    <row r="313" spans="1:43"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row>
    <row r="314" spans="1:43"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row>
    <row r="315" spans="1:43"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row>
    <row r="316" spans="1:43"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row>
    <row r="317" spans="1:43"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row>
    <row r="318" spans="1:43"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row>
    <row r="319" spans="1:43"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row>
    <row r="320" spans="1:43"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row>
    <row r="321" spans="1:43"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row>
    <row r="322" spans="1:43"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row>
    <row r="323" spans="1:43"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row>
    <row r="324" spans="1:43"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row>
    <row r="325" spans="1:43"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row>
    <row r="326" spans="1:43"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row>
    <row r="327" spans="1:43"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row>
    <row r="328" spans="1:43"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row>
    <row r="329" spans="1:43"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row>
    <row r="330" spans="1:43"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row>
    <row r="331" spans="1:43"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row>
    <row r="332" spans="1:43"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row>
    <row r="333" spans="1:43"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row>
    <row r="334" spans="1:43"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row>
    <row r="335" spans="1:43"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row>
    <row r="336" spans="1:43"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row>
    <row r="337" spans="1:43"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row>
    <row r="338" spans="1:43"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row>
    <row r="339" spans="1:43"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row>
    <row r="340" spans="1:43"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row>
    <row r="341" spans="1:43"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row>
    <row r="342" spans="1:43"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row>
    <row r="343" spans="1:43"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row>
    <row r="344" spans="1:43"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row>
    <row r="345" spans="1:43"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row>
    <row r="346" spans="1:43"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row>
    <row r="347" spans="1:43"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row>
    <row r="348" spans="1:43"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row>
    <row r="349" spans="1:43"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row>
    <row r="350" spans="1:43"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row>
    <row r="351" spans="1:43"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row>
    <row r="352" spans="1:43"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row>
    <row r="353" spans="1:43"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row>
    <row r="354" spans="1:43"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row>
    <row r="355" spans="1:43"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row>
    <row r="356" spans="1:43"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row>
    <row r="357" spans="1:43"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row>
    <row r="358" spans="1:43"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row>
    <row r="359" spans="1:43"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row>
    <row r="360" spans="1:43"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row>
    <row r="361" spans="1:43"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row>
    <row r="362" spans="1:43"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row>
    <row r="363" spans="1:43"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row>
    <row r="364" spans="1:43"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row>
    <row r="365" spans="1:43"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row>
    <row r="366" spans="1:43"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row>
    <row r="367" spans="1:43"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row>
    <row r="368" spans="1:43"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row>
    <row r="369" spans="1:43"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row>
    <row r="370" spans="1:43"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row>
    <row r="371" spans="1:43"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row>
    <row r="372" spans="1:43"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row>
    <row r="373" spans="1:43"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row>
    <row r="374" spans="1:43"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80"/>
  <sheetViews>
    <sheetView tabSelected="1" zoomScaleNormal="100" workbookViewId="0">
      <pane ySplit="4" topLeftCell="A9" activePane="bottomLeft" state="frozen"/>
      <selection pane="bottomLeft" activeCell="A2" sqref="A2:B2"/>
    </sheetView>
  </sheetViews>
  <sheetFormatPr defaultRowHeight="15" x14ac:dyDescent="0.25"/>
  <cols>
    <col min="2" max="2" width="10.140625" customWidth="1"/>
    <col min="3" max="3" width="27" customWidth="1"/>
    <col min="4" max="4" width="22.5703125" customWidth="1"/>
    <col min="5" max="5" width="10.5703125" customWidth="1"/>
    <col min="6" max="6" width="10.28515625" customWidth="1"/>
    <col min="7" max="7" width="11.7109375" customWidth="1"/>
    <col min="8" max="8" width="12.85546875" customWidth="1"/>
    <col min="9" max="9" width="11.140625" customWidth="1"/>
    <col min="10" max="10" width="10" customWidth="1"/>
    <col min="11" max="11" width="14.140625" customWidth="1"/>
    <col min="12" max="12" width="15.28515625" customWidth="1"/>
  </cols>
  <sheetData>
    <row r="1" spans="1:26" ht="21" x14ac:dyDescent="0.35">
      <c r="A1" s="104" t="s">
        <v>0</v>
      </c>
      <c r="B1" s="105"/>
      <c r="C1" s="105"/>
      <c r="D1" s="105"/>
      <c r="E1" s="105"/>
      <c r="F1" s="106"/>
      <c r="G1" s="104" t="s">
        <v>1</v>
      </c>
      <c r="H1" s="105"/>
      <c r="I1" s="105"/>
      <c r="J1" s="105"/>
      <c r="K1" s="107"/>
      <c r="L1" s="1"/>
      <c r="M1" s="1"/>
      <c r="N1" s="1"/>
      <c r="O1" s="1"/>
      <c r="P1" s="1"/>
      <c r="Q1" s="1"/>
      <c r="R1" s="1"/>
      <c r="S1" s="1"/>
      <c r="T1" s="1"/>
      <c r="U1" s="1"/>
      <c r="V1" s="1"/>
      <c r="W1" s="1"/>
      <c r="X1" s="1"/>
      <c r="Y1" s="1"/>
      <c r="Z1" s="1"/>
    </row>
    <row r="2" spans="1:26" ht="31.5" customHeight="1" x14ac:dyDescent="0.25">
      <c r="A2" s="108" t="s">
        <v>20</v>
      </c>
      <c r="B2" s="109"/>
      <c r="C2" s="100" t="s">
        <v>155</v>
      </c>
      <c r="D2" s="101"/>
      <c r="E2" s="38" t="s">
        <v>2</v>
      </c>
      <c r="F2" s="39" t="s">
        <v>3</v>
      </c>
      <c r="G2" s="102" t="s">
        <v>10</v>
      </c>
      <c r="H2" s="103"/>
      <c r="I2" s="40" t="str">
        <f>C2</f>
        <v>Different Coat</v>
      </c>
      <c r="J2" s="38" t="s">
        <v>2</v>
      </c>
      <c r="K2" s="41" t="s">
        <v>3</v>
      </c>
      <c r="L2" s="1"/>
      <c r="M2" s="1"/>
      <c r="N2" s="1"/>
      <c r="O2" s="1"/>
      <c r="P2" s="1"/>
      <c r="Q2" s="1"/>
      <c r="R2" s="1"/>
      <c r="S2" s="1"/>
      <c r="T2" s="1"/>
      <c r="U2" s="1"/>
      <c r="V2" s="1"/>
      <c r="W2" s="1"/>
      <c r="X2" s="1"/>
      <c r="Y2" s="1"/>
      <c r="Z2" s="1"/>
    </row>
    <row r="3" spans="1:26" ht="28.5" customHeight="1" x14ac:dyDescent="0.25">
      <c r="A3" s="102" t="s">
        <v>14</v>
      </c>
      <c r="B3" s="103"/>
      <c r="C3" s="100" t="s">
        <v>156</v>
      </c>
      <c r="D3" s="101"/>
      <c r="E3" s="38" t="s">
        <v>15</v>
      </c>
      <c r="F3" s="39" t="s">
        <v>154</v>
      </c>
      <c r="G3" s="102" t="s">
        <v>4</v>
      </c>
      <c r="H3" s="103"/>
      <c r="I3" s="40" t="str">
        <f>C3</f>
        <v>Customer Class</v>
      </c>
      <c r="J3" s="38" t="s">
        <v>15</v>
      </c>
      <c r="K3" s="41" t="str">
        <f>F3</f>
        <v>Ciaran Lynch</v>
      </c>
      <c r="L3" s="1"/>
      <c r="M3" s="1"/>
      <c r="N3" s="1"/>
      <c r="O3" s="1"/>
      <c r="P3" s="1"/>
      <c r="Q3" s="1"/>
      <c r="R3" s="1"/>
      <c r="S3" s="1"/>
      <c r="T3" s="1"/>
      <c r="U3" s="1"/>
      <c r="V3" s="1"/>
      <c r="W3" s="1"/>
      <c r="X3" s="1"/>
      <c r="Y3" s="1"/>
      <c r="Z3" s="1"/>
    </row>
    <row r="4" spans="1:26" ht="52.5" customHeight="1" x14ac:dyDescent="0.25">
      <c r="A4" s="42" t="s">
        <v>5</v>
      </c>
      <c r="B4" s="43" t="s">
        <v>6</v>
      </c>
      <c r="C4" s="43" t="s">
        <v>11</v>
      </c>
      <c r="D4" s="43" t="s">
        <v>157</v>
      </c>
      <c r="E4" s="43" t="s">
        <v>88</v>
      </c>
      <c r="F4" s="43" t="s">
        <v>98</v>
      </c>
      <c r="G4" s="44" t="s">
        <v>161</v>
      </c>
      <c r="H4" s="45" t="s">
        <v>160</v>
      </c>
      <c r="I4" s="46" t="s">
        <v>93</v>
      </c>
      <c r="J4" s="46" t="s">
        <v>9</v>
      </c>
      <c r="K4" s="47" t="s">
        <v>94</v>
      </c>
      <c r="L4" s="1"/>
      <c r="M4" s="1"/>
      <c r="N4" s="1"/>
      <c r="O4" s="1"/>
      <c r="P4" s="1"/>
      <c r="Q4" s="1"/>
      <c r="R4" s="1"/>
      <c r="S4" s="1"/>
      <c r="T4" s="1"/>
      <c r="U4" s="1"/>
      <c r="V4" s="1"/>
      <c r="W4" s="1"/>
      <c r="X4" s="1"/>
      <c r="Y4" s="1"/>
      <c r="Z4" s="1"/>
    </row>
    <row r="5" spans="1:26" ht="51" customHeight="1" x14ac:dyDescent="0.25">
      <c r="A5" s="48">
        <v>1.1000000000000001</v>
      </c>
      <c r="B5" s="49">
        <v>45774</v>
      </c>
      <c r="C5" s="50" t="s">
        <v>216</v>
      </c>
      <c r="D5" s="50" t="s">
        <v>158</v>
      </c>
      <c r="E5" s="50">
        <f>TestPlan[[#This Row],[Test No]]</f>
        <v>1.1000000000000001</v>
      </c>
      <c r="F5" s="50" t="s">
        <v>99</v>
      </c>
      <c r="G5" s="51" t="s">
        <v>159</v>
      </c>
      <c r="H5" s="52" t="s">
        <v>89</v>
      </c>
      <c r="I5" s="49">
        <f>TestPlan[[#This Row],[Date]]</f>
        <v>45774</v>
      </c>
      <c r="J5" s="50" t="s">
        <v>189</v>
      </c>
      <c r="K5" s="54"/>
      <c r="L5" s="1"/>
      <c r="M5" s="1"/>
      <c r="N5" s="1"/>
      <c r="O5" s="1"/>
      <c r="P5" s="1"/>
      <c r="Q5" s="1"/>
      <c r="R5" s="1"/>
      <c r="S5" s="1"/>
      <c r="T5" s="1"/>
      <c r="U5" s="1"/>
      <c r="V5" s="1"/>
      <c r="W5" s="1"/>
      <c r="X5" s="1"/>
      <c r="Y5" s="1"/>
      <c r="Z5" s="1"/>
    </row>
    <row r="6" spans="1:26" ht="39.950000000000003" customHeight="1" x14ac:dyDescent="0.25">
      <c r="A6" s="48">
        <v>1.2</v>
      </c>
      <c r="B6" s="49">
        <v>45774</v>
      </c>
      <c r="C6" s="50"/>
      <c r="D6" s="50" t="s">
        <v>163</v>
      </c>
      <c r="E6" s="50">
        <f>TestPlan[[#This Row],[Test No]]</f>
        <v>1.2</v>
      </c>
      <c r="F6" s="50" t="s">
        <v>99</v>
      </c>
      <c r="G6" s="51" t="s">
        <v>168</v>
      </c>
      <c r="H6" s="52" t="s">
        <v>89</v>
      </c>
      <c r="I6" s="49">
        <f>TestPlan[[#This Row],[Date]]</f>
        <v>45774</v>
      </c>
      <c r="J6" s="50" t="s">
        <v>189</v>
      </c>
      <c r="K6" s="54"/>
      <c r="L6" s="1"/>
      <c r="M6" s="1"/>
      <c r="N6" s="1"/>
      <c r="O6" s="1"/>
      <c r="P6" s="1"/>
      <c r="Q6" s="1"/>
      <c r="R6" s="1"/>
      <c r="S6" s="1"/>
      <c r="T6" s="1"/>
      <c r="U6" s="1"/>
      <c r="V6" s="1"/>
      <c r="W6" s="1"/>
      <c r="X6" s="1"/>
      <c r="Y6" s="1"/>
      <c r="Z6" s="1"/>
    </row>
    <row r="7" spans="1:26" ht="39.950000000000003" customHeight="1" x14ac:dyDescent="0.25">
      <c r="A7" s="48">
        <v>1.3</v>
      </c>
      <c r="B7" s="49">
        <v>45774</v>
      </c>
      <c r="C7" s="50"/>
      <c r="D7" s="50" t="s">
        <v>164</v>
      </c>
      <c r="E7" s="50">
        <f>TestPlan[[#This Row],[Test No]]</f>
        <v>1.3</v>
      </c>
      <c r="F7" s="50" t="s">
        <v>99</v>
      </c>
      <c r="G7" s="51" t="s">
        <v>169</v>
      </c>
      <c r="H7" s="52" t="s">
        <v>89</v>
      </c>
      <c r="I7" s="49">
        <f>TestPlan[[#This Row],[Date]]</f>
        <v>45774</v>
      </c>
      <c r="J7" s="50" t="s">
        <v>189</v>
      </c>
      <c r="K7" s="54"/>
      <c r="L7" s="1"/>
      <c r="M7" s="1"/>
      <c r="N7" s="1"/>
      <c r="O7" s="1"/>
      <c r="P7" s="1"/>
      <c r="Q7" s="1"/>
      <c r="R7" s="1"/>
      <c r="S7" s="1"/>
      <c r="T7" s="1"/>
      <c r="U7" s="1"/>
      <c r="V7" s="1"/>
      <c r="W7" s="1"/>
      <c r="X7" s="1"/>
      <c r="Y7" s="1"/>
      <c r="Z7" s="1"/>
    </row>
    <row r="8" spans="1:26" ht="39.950000000000003" customHeight="1" x14ac:dyDescent="0.25">
      <c r="A8" s="48">
        <v>1.4</v>
      </c>
      <c r="B8" s="49">
        <v>45774</v>
      </c>
      <c r="C8" s="50"/>
      <c r="D8" s="50" t="s">
        <v>165</v>
      </c>
      <c r="E8" s="50">
        <f>TestPlan[[#This Row],[Test No]]</f>
        <v>1.4</v>
      </c>
      <c r="F8" s="50" t="s">
        <v>99</v>
      </c>
      <c r="G8" s="51" t="s">
        <v>170</v>
      </c>
      <c r="H8" s="52" t="s">
        <v>89</v>
      </c>
      <c r="I8" s="49">
        <f>TestPlan[[#This Row],[Date]]</f>
        <v>45774</v>
      </c>
      <c r="J8" s="50" t="s">
        <v>189</v>
      </c>
      <c r="K8" s="54"/>
      <c r="L8" s="1"/>
      <c r="M8" s="1"/>
      <c r="N8" s="1"/>
      <c r="O8" s="1"/>
      <c r="P8" s="1"/>
      <c r="Q8" s="1"/>
      <c r="R8" s="1"/>
      <c r="S8" s="1"/>
      <c r="T8" s="1"/>
      <c r="U8" s="1"/>
      <c r="V8" s="1"/>
      <c r="W8" s="1"/>
      <c r="X8" s="1"/>
      <c r="Y8" s="1"/>
      <c r="Z8" s="1"/>
    </row>
    <row r="9" spans="1:26" ht="39.950000000000003" customHeight="1" x14ac:dyDescent="0.25">
      <c r="A9" s="48">
        <v>1.5</v>
      </c>
      <c r="B9" s="49">
        <v>45774</v>
      </c>
      <c r="C9" s="50"/>
      <c r="D9" s="50" t="s">
        <v>166</v>
      </c>
      <c r="E9" s="50">
        <f>TestPlan[[#This Row],[Test No]]</f>
        <v>1.5</v>
      </c>
      <c r="F9" s="50" t="s">
        <v>99</v>
      </c>
      <c r="G9" s="51" t="s">
        <v>171</v>
      </c>
      <c r="H9" s="52" t="s">
        <v>89</v>
      </c>
      <c r="I9" s="49">
        <f>TestPlan[[#This Row],[Date]]</f>
        <v>45774</v>
      </c>
      <c r="J9" s="50" t="s">
        <v>189</v>
      </c>
      <c r="K9" s="54"/>
      <c r="L9" s="1"/>
      <c r="M9" s="1"/>
      <c r="N9" s="1"/>
      <c r="O9" s="1"/>
      <c r="P9" s="1"/>
      <c r="Q9" s="1"/>
      <c r="R9" s="1"/>
      <c r="S9" s="1"/>
      <c r="T9" s="1"/>
      <c r="U9" s="1"/>
      <c r="V9" s="1"/>
      <c r="W9" s="1"/>
      <c r="X9" s="1"/>
      <c r="Y9" s="1"/>
      <c r="Z9" s="1"/>
    </row>
    <row r="10" spans="1:26" ht="39.950000000000003" customHeight="1" x14ac:dyDescent="0.25">
      <c r="A10" s="48">
        <v>1.6</v>
      </c>
      <c r="B10" s="49">
        <v>45774</v>
      </c>
      <c r="C10" s="50"/>
      <c r="D10" s="50" t="s">
        <v>167</v>
      </c>
      <c r="E10" s="50">
        <f>TestPlan[[#This Row],[Test No]]</f>
        <v>1.6</v>
      </c>
      <c r="F10" s="50" t="s">
        <v>99</v>
      </c>
      <c r="G10" s="51" t="s">
        <v>172</v>
      </c>
      <c r="H10" s="52" t="s">
        <v>89</v>
      </c>
      <c r="I10" s="49">
        <f>TestPlan[[#This Row],[Date]]</f>
        <v>45774</v>
      </c>
      <c r="J10" s="50" t="s">
        <v>189</v>
      </c>
      <c r="K10" s="54"/>
      <c r="L10" s="1"/>
      <c r="M10" s="1"/>
      <c r="N10" s="1"/>
      <c r="O10" s="1"/>
      <c r="P10" s="1"/>
      <c r="Q10" s="1"/>
      <c r="R10" s="1"/>
      <c r="S10" s="1"/>
      <c r="T10" s="1"/>
      <c r="U10" s="1"/>
      <c r="V10" s="1"/>
      <c r="W10" s="1"/>
      <c r="X10" s="1"/>
      <c r="Y10" s="1"/>
      <c r="Z10" s="1"/>
    </row>
    <row r="11" spans="1:26" ht="39.950000000000003" customHeight="1" x14ac:dyDescent="0.25">
      <c r="A11" s="48">
        <v>1.7</v>
      </c>
      <c r="B11" s="49">
        <v>45774</v>
      </c>
      <c r="C11" s="50"/>
      <c r="D11" s="50" t="s">
        <v>173</v>
      </c>
      <c r="E11" s="50">
        <f>TestPlan[[#This Row],[Test No]]</f>
        <v>1.7</v>
      </c>
      <c r="F11" s="50" t="s">
        <v>99</v>
      </c>
      <c r="G11" s="51" t="s">
        <v>174</v>
      </c>
      <c r="H11" s="52" t="s">
        <v>89</v>
      </c>
      <c r="I11" s="49">
        <f>TestPlan[[#This Row],[Date]]</f>
        <v>45774</v>
      </c>
      <c r="J11" s="50" t="s">
        <v>189</v>
      </c>
      <c r="K11" s="54"/>
      <c r="L11" s="1"/>
      <c r="M11" s="1"/>
      <c r="N11" s="1"/>
      <c r="O11" s="1"/>
      <c r="P11" s="1"/>
      <c r="Q11" s="1"/>
      <c r="R11" s="1"/>
      <c r="S11" s="1"/>
      <c r="T11" s="1"/>
      <c r="U11" s="1"/>
      <c r="V11" s="1"/>
      <c r="W11" s="1"/>
      <c r="X11" s="1"/>
      <c r="Y11" s="1"/>
      <c r="Z11" s="1"/>
    </row>
    <row r="12" spans="1:26" ht="39.950000000000003" customHeight="1" x14ac:dyDescent="0.25">
      <c r="A12" s="48">
        <v>2.1</v>
      </c>
      <c r="B12" s="49">
        <v>45774</v>
      </c>
      <c r="C12" s="50" t="s">
        <v>175</v>
      </c>
      <c r="D12" s="50" t="s">
        <v>176</v>
      </c>
      <c r="E12" s="50">
        <f>TestPlan[[#This Row],[Test No]]</f>
        <v>2.1</v>
      </c>
      <c r="F12" s="50" t="s">
        <v>99</v>
      </c>
      <c r="G12" s="51" t="s">
        <v>162</v>
      </c>
      <c r="H12" s="52" t="s">
        <v>89</v>
      </c>
      <c r="I12" s="49">
        <f>TestPlan[[#This Row],[Date]]</f>
        <v>45774</v>
      </c>
      <c r="J12" s="50" t="s">
        <v>189</v>
      </c>
      <c r="K12" s="54"/>
      <c r="L12" s="1"/>
      <c r="M12" s="1"/>
      <c r="N12" s="1"/>
      <c r="O12" s="1"/>
      <c r="P12" s="1"/>
      <c r="Q12" s="1"/>
      <c r="R12" s="1"/>
      <c r="S12" s="1"/>
      <c r="T12" s="1"/>
      <c r="U12" s="1"/>
      <c r="V12" s="1"/>
      <c r="W12" s="1"/>
      <c r="X12" s="1"/>
      <c r="Y12" s="1"/>
      <c r="Z12" s="1"/>
    </row>
    <row r="13" spans="1:26" ht="39.950000000000003" customHeight="1" x14ac:dyDescent="0.25">
      <c r="A13" s="48">
        <v>2.2000000000000002</v>
      </c>
      <c r="B13" s="49">
        <v>45774</v>
      </c>
      <c r="C13" s="50"/>
      <c r="D13" s="50" t="s">
        <v>190</v>
      </c>
      <c r="E13" s="50">
        <f>TestPlan[[#This Row],[Test No]]</f>
        <v>2.2000000000000002</v>
      </c>
      <c r="F13" s="50" t="s">
        <v>99</v>
      </c>
      <c r="G13" s="50" t="s">
        <v>191</v>
      </c>
      <c r="H13" s="52" t="s">
        <v>89</v>
      </c>
      <c r="I13" s="49">
        <f>TestPlan[[#This Row],[Date]]</f>
        <v>45774</v>
      </c>
      <c r="J13" s="50" t="s">
        <v>189</v>
      </c>
      <c r="K13" s="54"/>
      <c r="L13" s="1"/>
      <c r="M13" s="1"/>
      <c r="N13" s="1"/>
      <c r="O13" s="1"/>
      <c r="P13" s="1"/>
      <c r="Q13" s="1"/>
      <c r="R13" s="1"/>
      <c r="S13" s="1"/>
      <c r="T13" s="1"/>
      <c r="U13" s="1"/>
      <c r="V13" s="1"/>
      <c r="W13" s="1"/>
      <c r="X13" s="1"/>
      <c r="Y13" s="1"/>
      <c r="Z13" s="1"/>
    </row>
    <row r="14" spans="1:26" ht="39.950000000000003" customHeight="1" x14ac:dyDescent="0.25">
      <c r="A14" s="48">
        <v>2.2999999999999998</v>
      </c>
      <c r="B14" s="49">
        <v>45774</v>
      </c>
      <c r="C14" s="50"/>
      <c r="D14" s="50" t="s">
        <v>177</v>
      </c>
      <c r="E14" s="50">
        <f>TestPlan[[#This Row],[Test No]]</f>
        <v>2.2999999999999998</v>
      </c>
      <c r="F14" s="50" t="s">
        <v>99</v>
      </c>
      <c r="G14" s="51" t="s">
        <v>187</v>
      </c>
      <c r="H14" s="52" t="s">
        <v>89</v>
      </c>
      <c r="I14" s="49">
        <f>TestPlan[[#This Row],[Date]]</f>
        <v>45774</v>
      </c>
      <c r="J14" s="50" t="s">
        <v>189</v>
      </c>
      <c r="K14" s="54"/>
      <c r="L14" s="1"/>
      <c r="M14" s="1"/>
      <c r="N14" s="1"/>
      <c r="O14" s="1"/>
      <c r="P14" s="1"/>
      <c r="Q14" s="1"/>
      <c r="R14" s="1"/>
      <c r="S14" s="1"/>
      <c r="T14" s="1"/>
      <c r="U14" s="1"/>
      <c r="V14" s="1"/>
      <c r="W14" s="1"/>
      <c r="X14" s="1"/>
      <c r="Y14" s="1"/>
      <c r="Z14" s="1"/>
    </row>
    <row r="15" spans="1:26" ht="39.950000000000003" customHeight="1" x14ac:dyDescent="0.25">
      <c r="A15" s="48">
        <v>2.4</v>
      </c>
      <c r="B15" s="49">
        <v>45774</v>
      </c>
      <c r="C15" s="50"/>
      <c r="D15" s="50" t="s">
        <v>192</v>
      </c>
      <c r="E15" s="50">
        <f>TestPlan[[#This Row],[Test No]]</f>
        <v>2.4</v>
      </c>
      <c r="F15" s="50" t="s">
        <v>99</v>
      </c>
      <c r="G15" s="51">
        <v>160</v>
      </c>
      <c r="H15" s="52" t="s">
        <v>89</v>
      </c>
      <c r="I15" s="49">
        <f>TestPlan[[#This Row],[Date]]</f>
        <v>45774</v>
      </c>
      <c r="J15" s="50" t="s">
        <v>189</v>
      </c>
      <c r="K15" s="54"/>
      <c r="L15" s="1"/>
      <c r="M15" s="1"/>
      <c r="N15" s="1"/>
      <c r="O15" s="1"/>
      <c r="P15" s="1"/>
      <c r="Q15" s="1"/>
      <c r="R15" s="1"/>
      <c r="S15" s="1"/>
      <c r="T15" s="1"/>
      <c r="U15" s="1"/>
      <c r="V15" s="1"/>
      <c r="W15" s="1"/>
      <c r="X15" s="1"/>
      <c r="Y15" s="1"/>
      <c r="Z15" s="1"/>
    </row>
    <row r="16" spans="1:26" ht="39.950000000000003" customHeight="1" x14ac:dyDescent="0.25">
      <c r="A16" s="48">
        <v>2.5</v>
      </c>
      <c r="B16" s="49">
        <v>45774</v>
      </c>
      <c r="C16" s="50"/>
      <c r="D16" s="50" t="s">
        <v>193</v>
      </c>
      <c r="E16" s="50">
        <f>TestPlan[[#This Row],[Test No]]</f>
        <v>2.5</v>
      </c>
      <c r="F16" s="50" t="s">
        <v>99</v>
      </c>
      <c r="G16" s="51">
        <v>8</v>
      </c>
      <c r="H16" s="52" t="s">
        <v>89</v>
      </c>
      <c r="I16" s="49">
        <f>TestPlan[[#This Row],[Date]]</f>
        <v>45774</v>
      </c>
      <c r="J16" s="50" t="s">
        <v>189</v>
      </c>
      <c r="K16" s="54"/>
      <c r="L16" s="1"/>
      <c r="M16" s="1"/>
      <c r="N16" s="1"/>
      <c r="O16" s="1"/>
      <c r="P16" s="1"/>
      <c r="Q16" s="1"/>
      <c r="R16" s="1"/>
      <c r="S16" s="1"/>
      <c r="T16" s="1"/>
      <c r="U16" s="1"/>
      <c r="V16" s="1"/>
      <c r="W16" s="1"/>
      <c r="X16" s="1"/>
      <c r="Y16" s="1"/>
      <c r="Z16" s="1"/>
    </row>
    <row r="17" spans="1:26" ht="39.950000000000003" customHeight="1" x14ac:dyDescent="0.25">
      <c r="A17" s="48">
        <v>2.6</v>
      </c>
      <c r="B17" s="49">
        <v>45774</v>
      </c>
      <c r="C17" s="50"/>
      <c r="D17" s="50" t="s">
        <v>194</v>
      </c>
      <c r="E17" s="50">
        <f>TestPlan[[#This Row],[Test No]]</f>
        <v>2.6</v>
      </c>
      <c r="F17" s="50" t="s">
        <v>99</v>
      </c>
      <c r="G17" s="51" t="s">
        <v>188</v>
      </c>
      <c r="H17" s="52" t="s">
        <v>89</v>
      </c>
      <c r="I17" s="49">
        <f>TestPlan[[#This Row],[Date]]</f>
        <v>45774</v>
      </c>
      <c r="J17" s="50" t="s">
        <v>189</v>
      </c>
      <c r="K17" s="54"/>
      <c r="L17" s="1"/>
      <c r="M17" s="1"/>
      <c r="N17" s="1"/>
      <c r="O17" s="1"/>
      <c r="P17" s="1"/>
      <c r="Q17" s="1"/>
      <c r="R17" s="1"/>
      <c r="S17" s="1"/>
      <c r="T17" s="1"/>
      <c r="U17" s="1"/>
      <c r="V17" s="1"/>
      <c r="W17" s="1"/>
      <c r="X17" s="1"/>
      <c r="Y17" s="1"/>
      <c r="Z17" s="1"/>
    </row>
    <row r="18" spans="1:26" ht="39.950000000000003" customHeight="1" x14ac:dyDescent="0.25">
      <c r="A18" s="48">
        <v>2.7</v>
      </c>
      <c r="B18" s="49">
        <v>45774</v>
      </c>
      <c r="C18" s="50"/>
      <c r="D18" s="50" t="s">
        <v>178</v>
      </c>
      <c r="E18" s="50">
        <f>TestPlan[[#This Row],[Test No]]</f>
        <v>2.7</v>
      </c>
      <c r="F18" s="50" t="s">
        <v>99</v>
      </c>
      <c r="G18" s="51">
        <v>15</v>
      </c>
      <c r="H18" s="52" t="s">
        <v>89</v>
      </c>
      <c r="I18" s="49">
        <f>TestPlan[[#This Row],[Date]]</f>
        <v>45774</v>
      </c>
      <c r="J18" s="50" t="s">
        <v>189</v>
      </c>
      <c r="K18" s="54"/>
      <c r="L18" s="1"/>
      <c r="M18" s="1"/>
      <c r="N18" s="1"/>
      <c r="O18" s="1"/>
      <c r="P18" s="1"/>
      <c r="Q18" s="1"/>
      <c r="R18" s="1"/>
      <c r="S18" s="1"/>
      <c r="T18" s="1"/>
      <c r="U18" s="1"/>
      <c r="V18" s="1"/>
      <c r="W18" s="1"/>
      <c r="X18" s="1"/>
      <c r="Y18" s="1"/>
      <c r="Z18" s="1"/>
    </row>
    <row r="19" spans="1:2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x14ac:dyDescent="0.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sheetData>
  <mergeCells count="8">
    <mergeCell ref="C2:D2"/>
    <mergeCell ref="C3:D3"/>
    <mergeCell ref="G2:H2"/>
    <mergeCell ref="G3:H3"/>
    <mergeCell ref="A1:F1"/>
    <mergeCell ref="G1:K1"/>
    <mergeCell ref="A3:B3"/>
    <mergeCell ref="A2:B2"/>
  </mergeCells>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06AF954-AAE0-4C6F-99C2-97AB84638014}">
          <x14:formula1>
            <xm:f>Categories!$A$22:$A$31</xm:f>
          </x14:formula1>
          <xm:sqref>H5:H18</xm:sqref>
        </x14:dataValidation>
        <x14:dataValidation type="list" allowBlank="1" showInputMessage="1" showErrorMessage="1" xr:uid="{B322F576-B9E3-4814-A1A1-B82071401C5E}">
          <x14:formula1>
            <xm:f>Categories!$C$22:$C$24</xm:f>
          </x14:formula1>
          <xm:sqref>F5:F18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E8382-5128-4F7E-A3D9-EE5016E98145}">
  <dimension ref="A1:AC78"/>
  <sheetViews>
    <sheetView workbookViewId="0">
      <selection activeCell="C2" sqref="C2:D2"/>
    </sheetView>
  </sheetViews>
  <sheetFormatPr defaultRowHeight="15" x14ac:dyDescent="0.25"/>
  <cols>
    <col min="3" max="3" width="24.7109375" customWidth="1"/>
    <col min="4" max="4" width="19.7109375" customWidth="1"/>
    <col min="6" max="6" width="13.5703125" customWidth="1"/>
    <col min="7" max="7" width="17.28515625" customWidth="1"/>
    <col min="9" max="9" width="9.42578125" customWidth="1"/>
    <col min="10" max="10" width="11" customWidth="1"/>
    <col min="11" max="11" width="21.85546875" customWidth="1"/>
  </cols>
  <sheetData>
    <row r="1" spans="1:29" ht="21" x14ac:dyDescent="0.35">
      <c r="A1" s="104" t="s">
        <v>0</v>
      </c>
      <c r="B1" s="105"/>
      <c r="C1" s="105"/>
      <c r="D1" s="105"/>
      <c r="E1" s="105"/>
      <c r="F1" s="106"/>
      <c r="G1" s="104" t="s">
        <v>1</v>
      </c>
      <c r="H1" s="105"/>
      <c r="I1" s="105"/>
      <c r="J1" s="105"/>
      <c r="K1" s="107"/>
      <c r="L1" s="1"/>
      <c r="M1" s="1"/>
      <c r="N1" s="1"/>
      <c r="O1" s="1"/>
      <c r="P1" s="1"/>
      <c r="Q1" s="1"/>
      <c r="R1" s="1"/>
      <c r="S1" s="1"/>
      <c r="T1" s="1"/>
      <c r="U1" s="1"/>
      <c r="V1" s="1"/>
      <c r="W1" s="1"/>
      <c r="X1" s="1"/>
      <c r="Y1" s="1"/>
      <c r="Z1" s="1"/>
      <c r="AA1" s="1"/>
      <c r="AB1" s="1"/>
      <c r="AC1" s="1"/>
    </row>
    <row r="2" spans="1:29" ht="30" x14ac:dyDescent="0.25">
      <c r="A2" s="108" t="s">
        <v>20</v>
      </c>
      <c r="B2" s="109"/>
      <c r="C2" s="100" t="s">
        <v>155</v>
      </c>
      <c r="D2" s="101"/>
      <c r="E2" s="38" t="s">
        <v>2</v>
      </c>
      <c r="F2" s="39" t="s">
        <v>3</v>
      </c>
      <c r="G2" s="102" t="s">
        <v>10</v>
      </c>
      <c r="H2" s="103"/>
      <c r="I2" s="40" t="str">
        <f>C2</f>
        <v>Different Coat</v>
      </c>
      <c r="J2" s="38" t="s">
        <v>2</v>
      </c>
      <c r="K2" s="41" t="s">
        <v>3</v>
      </c>
      <c r="L2" s="1"/>
      <c r="M2" s="1"/>
      <c r="N2" s="1"/>
      <c r="O2" s="1"/>
      <c r="P2" s="1"/>
      <c r="Q2" s="1"/>
      <c r="R2" s="1"/>
      <c r="S2" s="1"/>
      <c r="T2" s="1"/>
      <c r="U2" s="1"/>
      <c r="V2" s="1"/>
      <c r="W2" s="1"/>
      <c r="X2" s="1"/>
      <c r="Y2" s="1"/>
      <c r="Z2" s="1"/>
      <c r="AA2" s="1"/>
      <c r="AB2" s="1"/>
      <c r="AC2" s="1"/>
    </row>
    <row r="3" spans="1:29" ht="30" x14ac:dyDescent="0.25">
      <c r="A3" s="102" t="s">
        <v>14</v>
      </c>
      <c r="B3" s="103"/>
      <c r="C3" s="100" t="s">
        <v>214</v>
      </c>
      <c r="D3" s="101"/>
      <c r="E3" s="38" t="s">
        <v>15</v>
      </c>
      <c r="F3" s="39" t="s">
        <v>154</v>
      </c>
      <c r="G3" s="102" t="s">
        <v>4</v>
      </c>
      <c r="H3" s="103"/>
      <c r="I3" s="40" t="str">
        <f>C3</f>
        <v>Trade Customer Class</v>
      </c>
      <c r="J3" s="38" t="s">
        <v>15</v>
      </c>
      <c r="K3" s="41" t="str">
        <f>F3</f>
        <v>Ciaran Lynch</v>
      </c>
      <c r="L3" s="1"/>
      <c r="M3" s="1"/>
      <c r="N3" s="1"/>
      <c r="O3" s="1"/>
      <c r="P3" s="1"/>
      <c r="Q3" s="1"/>
      <c r="R3" s="1"/>
      <c r="S3" s="1"/>
      <c r="T3" s="1"/>
      <c r="U3" s="1"/>
      <c r="V3" s="1"/>
      <c r="W3" s="1"/>
      <c r="X3" s="1"/>
      <c r="Y3" s="1"/>
      <c r="Z3" s="1"/>
      <c r="AA3" s="1"/>
      <c r="AB3" s="1"/>
      <c r="AC3" s="1"/>
    </row>
    <row r="4" spans="1:29" ht="38.25" x14ac:dyDescent="0.25">
      <c r="A4" s="42" t="s">
        <v>5</v>
      </c>
      <c r="B4" s="43" t="s">
        <v>6</v>
      </c>
      <c r="C4" s="43" t="s">
        <v>11</v>
      </c>
      <c r="D4" s="43" t="s">
        <v>157</v>
      </c>
      <c r="E4" s="43" t="s">
        <v>88</v>
      </c>
      <c r="F4" s="43" t="s">
        <v>98</v>
      </c>
      <c r="G4" s="44" t="s">
        <v>161</v>
      </c>
      <c r="H4" s="45" t="s">
        <v>160</v>
      </c>
      <c r="I4" s="46" t="s">
        <v>93</v>
      </c>
      <c r="J4" s="46" t="s">
        <v>9</v>
      </c>
      <c r="K4" s="47" t="s">
        <v>94</v>
      </c>
      <c r="L4" s="1"/>
      <c r="M4" s="1"/>
      <c r="N4" s="1"/>
      <c r="O4" s="1"/>
      <c r="P4" s="1"/>
      <c r="Q4" s="1"/>
      <c r="R4" s="1"/>
      <c r="S4" s="1"/>
      <c r="T4" s="1"/>
      <c r="U4" s="1"/>
      <c r="V4" s="1"/>
      <c r="W4" s="1"/>
      <c r="X4" s="1"/>
      <c r="Y4" s="1"/>
      <c r="Z4" s="1"/>
      <c r="AA4" s="1"/>
      <c r="AB4" s="1"/>
      <c r="AC4" s="1"/>
    </row>
    <row r="5" spans="1:29" ht="39.950000000000003" customHeight="1" x14ac:dyDescent="0.25">
      <c r="A5" s="78">
        <v>3.1</v>
      </c>
      <c r="B5" s="79">
        <v>45774</v>
      </c>
      <c r="C5" s="80" t="s">
        <v>179</v>
      </c>
      <c r="D5" s="80" t="s">
        <v>182</v>
      </c>
      <c r="E5" s="80">
        <f>TestPlan20[[#This Row],[Test No]]</f>
        <v>3.1</v>
      </c>
      <c r="F5" s="80" t="s">
        <v>99</v>
      </c>
      <c r="G5" s="80" t="s">
        <v>182</v>
      </c>
      <c r="H5" s="81" t="s">
        <v>89</v>
      </c>
      <c r="I5" s="79">
        <f>TestPlan20[[#This Row],[Date]]</f>
        <v>45774</v>
      </c>
      <c r="J5" s="50" t="s">
        <v>189</v>
      </c>
      <c r="K5" s="82"/>
      <c r="L5" s="1"/>
      <c r="M5" s="1"/>
      <c r="N5" s="1"/>
      <c r="O5" s="1"/>
      <c r="P5" s="1"/>
      <c r="Q5" s="1"/>
      <c r="R5" s="1"/>
      <c r="S5" s="1"/>
      <c r="T5" s="1"/>
      <c r="U5" s="1"/>
      <c r="V5" s="1"/>
      <c r="W5" s="1"/>
      <c r="X5" s="1"/>
      <c r="Y5" s="1"/>
      <c r="Z5" s="1"/>
      <c r="AA5" s="1"/>
      <c r="AB5" s="1"/>
      <c r="AC5" s="1"/>
    </row>
    <row r="6" spans="1:29" ht="39.950000000000003" customHeight="1" x14ac:dyDescent="0.25">
      <c r="A6" s="78">
        <v>3.2</v>
      </c>
      <c r="B6" s="79">
        <v>45774</v>
      </c>
      <c r="C6" s="80" t="s">
        <v>195</v>
      </c>
      <c r="D6" s="80" t="s">
        <v>196</v>
      </c>
      <c r="E6" s="80">
        <f>TestPlan20[[#This Row],[Test No]]</f>
        <v>3.2</v>
      </c>
      <c r="F6" s="80" t="s">
        <v>99</v>
      </c>
      <c r="G6" s="80" t="s">
        <v>197</v>
      </c>
      <c r="H6" s="81" t="s">
        <v>89</v>
      </c>
      <c r="I6" s="79">
        <f>TestPlan20[[#This Row],[Date]]</f>
        <v>45774</v>
      </c>
      <c r="J6" s="50" t="s">
        <v>189</v>
      </c>
      <c r="K6" s="82"/>
      <c r="L6" s="1"/>
      <c r="M6" s="1"/>
      <c r="N6" s="1"/>
      <c r="O6" s="1"/>
      <c r="P6" s="1"/>
      <c r="Q6" s="1"/>
      <c r="R6" s="1"/>
      <c r="S6" s="1"/>
      <c r="T6" s="1"/>
      <c r="U6" s="1"/>
      <c r="V6" s="1"/>
      <c r="W6" s="1"/>
      <c r="X6" s="1"/>
      <c r="Y6" s="1"/>
      <c r="Z6" s="1"/>
      <c r="AA6" s="1"/>
      <c r="AB6" s="1"/>
      <c r="AC6" s="1"/>
    </row>
    <row r="7" spans="1:29"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row>
    <row r="8" spans="1:29"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row>
    <row r="9" spans="1:29"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row>
    <row r="10" spans="1:29"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row>
    <row r="11" spans="1:29"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row>
    <row r="12" spans="1:29"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row>
    <row r="13" spans="1:29"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row>
    <row r="14" spans="1:29"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row>
    <row r="15" spans="1:29"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row>
    <row r="16" spans="1:29"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row>
    <row r="17" spans="1:29"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row>
    <row r="18" spans="1:29"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row>
    <row r="19" spans="1:29"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row>
    <row r="20" spans="1:29"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row>
    <row r="21" spans="1:29"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row>
    <row r="22" spans="1:29"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row>
    <row r="23" spans="1:29"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row>
    <row r="24" spans="1:29"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row>
    <row r="25" spans="1:29"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row>
    <row r="27" spans="1:29"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row>
    <row r="28" spans="1:29"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row>
    <row r="29" spans="1:29"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row>
    <row r="30" spans="1:29"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row>
    <row r="31" spans="1:29"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row>
    <row r="32" spans="1:29"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row>
    <row r="33" spans="1:29"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row>
    <row r="34" spans="1:29"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row>
    <row r="35" spans="1:29"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row>
    <row r="36" spans="1:29"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row>
    <row r="37" spans="1:29"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row>
    <row r="38" spans="1:29"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row>
    <row r="39" spans="1:29"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row>
    <row r="40" spans="1:29"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row>
    <row r="41" spans="1:29"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row>
    <row r="42" spans="1:29"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row>
    <row r="43" spans="1:29"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row>
    <row r="44" spans="1:29"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row>
    <row r="45" spans="1:29"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row>
    <row r="46" spans="1:29"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row>
    <row r="47" spans="1:29"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row>
    <row r="48" spans="1:29"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row>
    <row r="49" spans="1:29"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row>
    <row r="50" spans="1:29"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row>
    <row r="51" spans="1:29"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row>
    <row r="52" spans="1:29"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row>
    <row r="53" spans="1:29"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row>
    <row r="54" spans="1:29"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row>
    <row r="55" spans="1:29"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row>
    <row r="56" spans="1:29"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row>
    <row r="57" spans="1:29"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row>
    <row r="58" spans="1:29"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row>
    <row r="59" spans="1:29"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row>
    <row r="60" spans="1:29"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row>
    <row r="61" spans="1:29"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row>
    <row r="62" spans="1:29"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row>
    <row r="63" spans="1:29"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row>
    <row r="64" spans="1:29"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row>
    <row r="65" spans="1:29"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row>
    <row r="66" spans="1:29"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row>
    <row r="67" spans="1:29"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row>
    <row r="68" spans="1:29"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row>
    <row r="69" spans="1:29"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row>
    <row r="70" spans="1:29"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row>
    <row r="71" spans="1:29"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row>
    <row r="72" spans="1:29"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row>
    <row r="73" spans="1:29"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row>
    <row r="74" spans="1:29"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row>
    <row r="75" spans="1:29"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row>
    <row r="76" spans="1:29"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row>
    <row r="77" spans="1:29"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row>
    <row r="78" spans="1:29"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row>
  </sheetData>
  <mergeCells count="8">
    <mergeCell ref="A3:B3"/>
    <mergeCell ref="C3:D3"/>
    <mergeCell ref="G3:H3"/>
    <mergeCell ref="A1:F1"/>
    <mergeCell ref="G1:K1"/>
    <mergeCell ref="A2:B2"/>
    <mergeCell ref="C2:D2"/>
    <mergeCell ref="G2:H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83D85B0-792E-4653-B04C-E5FC8095B4B8}">
          <x14:formula1>
            <xm:f>Categories!$C$22:$C$24</xm:f>
          </x14:formula1>
          <xm:sqref>F5:F6</xm:sqref>
        </x14:dataValidation>
        <x14:dataValidation type="list" allowBlank="1" showInputMessage="1" showErrorMessage="1" xr:uid="{A6385C9B-0E0E-42B1-8D2C-2C87C4FEEE07}">
          <x14:formula1>
            <xm:f>Categories!$A$22:$A$31</xm:f>
          </x14:formula1>
          <xm:sqref>H5:H6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84CBF-3189-472B-9C25-A862F041AC99}">
  <dimension ref="A1:AF78"/>
  <sheetViews>
    <sheetView workbookViewId="0">
      <selection activeCell="C2" sqref="C2:D2"/>
    </sheetView>
  </sheetViews>
  <sheetFormatPr defaultRowHeight="15" x14ac:dyDescent="0.25"/>
  <cols>
    <col min="2" max="2" width="10.5703125" customWidth="1"/>
    <col min="3" max="3" width="18.140625" customWidth="1"/>
    <col min="4" max="4" width="20.85546875" customWidth="1"/>
    <col min="5" max="5" width="9.5703125" customWidth="1"/>
    <col min="6" max="6" width="11.140625" customWidth="1"/>
    <col min="7" max="7" width="16.7109375" customWidth="1"/>
    <col min="8" max="8" width="11.7109375" customWidth="1"/>
    <col min="9" max="9" width="9.85546875" customWidth="1"/>
    <col min="10" max="10" width="10.5703125" customWidth="1"/>
    <col min="11" max="11" width="15.28515625" customWidth="1"/>
  </cols>
  <sheetData>
    <row r="1" spans="1:32" ht="21" x14ac:dyDescent="0.35">
      <c r="A1" s="104" t="s">
        <v>0</v>
      </c>
      <c r="B1" s="105"/>
      <c r="C1" s="105"/>
      <c r="D1" s="105"/>
      <c r="E1" s="105"/>
      <c r="F1" s="106"/>
      <c r="G1" s="104" t="s">
        <v>1</v>
      </c>
      <c r="H1" s="105"/>
      <c r="I1" s="105"/>
      <c r="J1" s="105"/>
      <c r="K1" s="107"/>
      <c r="L1" s="1"/>
      <c r="M1" s="1"/>
      <c r="N1" s="1"/>
      <c r="O1" s="1"/>
      <c r="P1" s="1"/>
      <c r="Q1" s="1"/>
      <c r="R1" s="1"/>
      <c r="S1" s="1"/>
      <c r="T1" s="1"/>
      <c r="U1" s="1"/>
      <c r="V1" s="1"/>
      <c r="W1" s="1"/>
      <c r="X1" s="1"/>
      <c r="Y1" s="1"/>
      <c r="Z1" s="1"/>
      <c r="AA1" s="1"/>
      <c r="AB1" s="1"/>
      <c r="AC1" s="1"/>
      <c r="AD1" s="1"/>
      <c r="AE1" s="1"/>
      <c r="AF1" s="1"/>
    </row>
    <row r="2" spans="1:32" ht="30" x14ac:dyDescent="0.25">
      <c r="A2" s="108" t="s">
        <v>20</v>
      </c>
      <c r="B2" s="109"/>
      <c r="C2" s="100" t="s">
        <v>155</v>
      </c>
      <c r="D2" s="101"/>
      <c r="E2" s="38" t="s">
        <v>2</v>
      </c>
      <c r="F2" s="39" t="s">
        <v>3</v>
      </c>
      <c r="G2" s="102" t="s">
        <v>10</v>
      </c>
      <c r="H2" s="103"/>
      <c r="I2" s="40" t="str">
        <f>C2</f>
        <v>Different Coat</v>
      </c>
      <c r="J2" s="38" t="s">
        <v>2</v>
      </c>
      <c r="K2" s="41" t="s">
        <v>3</v>
      </c>
      <c r="L2" s="1"/>
      <c r="M2" s="1"/>
      <c r="N2" s="1"/>
      <c r="O2" s="1"/>
      <c r="P2" s="1"/>
      <c r="Q2" s="1"/>
      <c r="R2" s="1"/>
      <c r="S2" s="1"/>
      <c r="T2" s="1"/>
      <c r="U2" s="1"/>
      <c r="V2" s="1"/>
      <c r="W2" s="1"/>
      <c r="X2" s="1"/>
      <c r="Y2" s="1"/>
      <c r="Z2" s="1"/>
      <c r="AA2" s="1"/>
      <c r="AB2" s="1"/>
      <c r="AC2" s="1"/>
      <c r="AD2" s="1"/>
      <c r="AE2" s="1"/>
      <c r="AF2" s="1"/>
    </row>
    <row r="3" spans="1:32" ht="33.75" customHeight="1" x14ac:dyDescent="0.25">
      <c r="A3" s="102" t="s">
        <v>14</v>
      </c>
      <c r="B3" s="103"/>
      <c r="C3" s="100" t="s">
        <v>215</v>
      </c>
      <c r="D3" s="101"/>
      <c r="E3" s="38" t="s">
        <v>15</v>
      </c>
      <c r="F3" s="39" t="s">
        <v>154</v>
      </c>
      <c r="G3" s="102" t="s">
        <v>4</v>
      </c>
      <c r="H3" s="103"/>
      <c r="I3" s="40" t="str">
        <f>C3</f>
        <v>General Customer Class</v>
      </c>
      <c r="J3" s="38" t="s">
        <v>15</v>
      </c>
      <c r="K3" s="41" t="str">
        <f>F3</f>
        <v>Ciaran Lynch</v>
      </c>
      <c r="L3" s="1"/>
      <c r="M3" s="1"/>
      <c r="N3" s="1"/>
      <c r="O3" s="1"/>
      <c r="P3" s="1"/>
      <c r="Q3" s="1"/>
      <c r="R3" s="1"/>
      <c r="S3" s="1"/>
      <c r="T3" s="1"/>
      <c r="U3" s="1"/>
      <c r="V3" s="1"/>
      <c r="W3" s="1"/>
      <c r="X3" s="1"/>
      <c r="Y3" s="1"/>
      <c r="Z3" s="1"/>
      <c r="AA3" s="1"/>
      <c r="AB3" s="1"/>
      <c r="AC3" s="1"/>
      <c r="AD3" s="1"/>
      <c r="AE3" s="1"/>
      <c r="AF3" s="1"/>
    </row>
    <row r="4" spans="1:32" ht="40.5" customHeight="1" x14ac:dyDescent="0.25">
      <c r="A4" s="42" t="s">
        <v>5</v>
      </c>
      <c r="B4" s="43" t="s">
        <v>6</v>
      </c>
      <c r="C4" s="43" t="s">
        <v>11</v>
      </c>
      <c r="D4" s="43" t="s">
        <v>157</v>
      </c>
      <c r="E4" s="43" t="s">
        <v>88</v>
      </c>
      <c r="F4" s="43" t="s">
        <v>98</v>
      </c>
      <c r="G4" s="44" t="s">
        <v>161</v>
      </c>
      <c r="H4" s="45" t="s">
        <v>160</v>
      </c>
      <c r="I4" s="46" t="s">
        <v>93</v>
      </c>
      <c r="J4" s="46" t="s">
        <v>9</v>
      </c>
      <c r="K4" s="47" t="s">
        <v>94</v>
      </c>
      <c r="L4" s="1"/>
      <c r="M4" s="1"/>
      <c r="N4" s="1"/>
      <c r="O4" s="1"/>
      <c r="P4" s="1"/>
      <c r="Q4" s="1"/>
      <c r="R4" s="1"/>
      <c r="S4" s="1"/>
      <c r="T4" s="1"/>
      <c r="U4" s="1"/>
      <c r="V4" s="1"/>
      <c r="W4" s="1"/>
      <c r="X4" s="1"/>
      <c r="Y4" s="1"/>
      <c r="Z4" s="1"/>
      <c r="AA4" s="1"/>
      <c r="AB4" s="1"/>
      <c r="AC4" s="1"/>
      <c r="AD4" s="1"/>
      <c r="AE4" s="1"/>
      <c r="AF4" s="1"/>
    </row>
    <row r="5" spans="1:32" ht="66.75" customHeight="1" x14ac:dyDescent="0.25">
      <c r="A5" s="78">
        <v>4.0999999999999996</v>
      </c>
      <c r="B5" s="79">
        <v>45774</v>
      </c>
      <c r="C5" s="80" t="s">
        <v>180</v>
      </c>
      <c r="D5" s="76" t="s">
        <v>181</v>
      </c>
      <c r="E5" s="80">
        <f>TestPlan21[[#This Row],[Test No]]</f>
        <v>4.0999999999999996</v>
      </c>
      <c r="F5" s="80" t="s">
        <v>99</v>
      </c>
      <c r="G5" s="80" t="s">
        <v>181</v>
      </c>
      <c r="H5" s="81" t="s">
        <v>89</v>
      </c>
      <c r="I5" s="79">
        <f>TestPlan21[[#This Row],[Date]]</f>
        <v>45774</v>
      </c>
      <c r="J5" s="50" t="s">
        <v>189</v>
      </c>
      <c r="K5" s="82"/>
      <c r="L5" s="1"/>
      <c r="M5" s="1"/>
      <c r="N5" s="1"/>
      <c r="O5" s="1"/>
      <c r="P5" s="1"/>
      <c r="Q5" s="1"/>
      <c r="R5" s="1"/>
      <c r="S5" s="1"/>
      <c r="T5" s="1"/>
      <c r="U5" s="1"/>
      <c r="V5" s="1"/>
      <c r="W5" s="1"/>
      <c r="X5" s="1"/>
      <c r="Y5" s="1"/>
      <c r="Z5" s="1"/>
      <c r="AA5" s="1"/>
      <c r="AB5" s="1"/>
      <c r="AC5" s="1"/>
      <c r="AD5" s="1"/>
      <c r="AE5" s="1"/>
      <c r="AF5" s="1"/>
    </row>
    <row r="6" spans="1:32" ht="62.25" customHeight="1" x14ac:dyDescent="0.25">
      <c r="A6" s="78">
        <v>4.2</v>
      </c>
      <c r="B6" s="79">
        <v>45774</v>
      </c>
      <c r="C6" s="80" t="s">
        <v>183</v>
      </c>
      <c r="D6" s="77" t="s">
        <v>184</v>
      </c>
      <c r="E6" s="80">
        <f>TestPlan21[[#This Row],[Test No]]</f>
        <v>4.2</v>
      </c>
      <c r="F6" s="80" t="s">
        <v>99</v>
      </c>
      <c r="G6" s="80" t="s">
        <v>184</v>
      </c>
      <c r="H6" s="81" t="s">
        <v>89</v>
      </c>
      <c r="I6" s="79">
        <f>TestPlan21[[#This Row],[Date]]</f>
        <v>45774</v>
      </c>
      <c r="J6" s="50" t="s">
        <v>189</v>
      </c>
      <c r="K6" s="82"/>
      <c r="L6" s="1"/>
      <c r="M6" s="1"/>
      <c r="N6" s="1"/>
      <c r="O6" s="1"/>
      <c r="P6" s="1"/>
      <c r="Q6" s="1"/>
      <c r="R6" s="1"/>
      <c r="S6" s="1"/>
      <c r="T6" s="1"/>
      <c r="U6" s="1"/>
      <c r="V6" s="1"/>
      <c r="W6" s="1"/>
      <c r="X6" s="1"/>
      <c r="Y6" s="1"/>
      <c r="Z6" s="1"/>
      <c r="AA6" s="1"/>
      <c r="AB6" s="1"/>
      <c r="AC6" s="1"/>
      <c r="AD6" s="1"/>
      <c r="AE6" s="1"/>
      <c r="AF6" s="1"/>
    </row>
    <row r="7" spans="1:32" ht="69" customHeight="1" x14ac:dyDescent="0.25">
      <c r="A7" s="78">
        <v>4.3</v>
      </c>
      <c r="B7" s="79">
        <v>45774</v>
      </c>
      <c r="C7" s="80" t="s">
        <v>185</v>
      </c>
      <c r="D7" s="80" t="s">
        <v>186</v>
      </c>
      <c r="E7" s="80">
        <f>TestPlan21[[#This Row],[Test No]]</f>
        <v>4.3</v>
      </c>
      <c r="F7" s="80" t="s">
        <v>99</v>
      </c>
      <c r="G7" s="80" t="s">
        <v>186</v>
      </c>
      <c r="H7" s="81" t="s">
        <v>89</v>
      </c>
      <c r="I7" s="79">
        <f>TestPlan21[[#This Row],[Date]]</f>
        <v>45774</v>
      </c>
      <c r="J7" s="50" t="s">
        <v>189</v>
      </c>
      <c r="K7" s="82"/>
      <c r="L7" s="1"/>
      <c r="M7" s="1"/>
      <c r="N7" s="1"/>
      <c r="O7" s="1"/>
      <c r="P7" s="1"/>
      <c r="Q7" s="1"/>
      <c r="R7" s="1"/>
      <c r="S7" s="1"/>
      <c r="T7" s="1"/>
      <c r="U7" s="1"/>
      <c r="V7" s="1"/>
      <c r="W7" s="1"/>
      <c r="X7" s="1"/>
      <c r="Y7" s="1"/>
      <c r="Z7" s="1"/>
      <c r="AA7" s="1"/>
      <c r="AB7" s="1"/>
      <c r="AC7" s="1"/>
      <c r="AD7" s="1"/>
      <c r="AE7" s="1"/>
      <c r="AF7" s="1"/>
    </row>
    <row r="8" spans="1:32" ht="51" customHeight="1" x14ac:dyDescent="0.25">
      <c r="A8" s="78">
        <v>4.4000000000000004</v>
      </c>
      <c r="B8" s="79">
        <v>45774</v>
      </c>
      <c r="C8" s="80" t="s">
        <v>198</v>
      </c>
      <c r="D8" s="80" t="s">
        <v>200</v>
      </c>
      <c r="E8" s="80">
        <f>TestPlan21[[#This Row],[Test No]]</f>
        <v>4.4000000000000004</v>
      </c>
      <c r="F8" s="80" t="s">
        <v>99</v>
      </c>
      <c r="G8" s="80" t="s">
        <v>199</v>
      </c>
      <c r="H8" s="81" t="s">
        <v>89</v>
      </c>
      <c r="I8" s="79">
        <f>TestPlan21[[#This Row],[Date]]</f>
        <v>45774</v>
      </c>
      <c r="J8" s="50" t="s">
        <v>189</v>
      </c>
      <c r="K8" s="82"/>
      <c r="L8" s="1"/>
      <c r="M8" s="1"/>
      <c r="N8" s="1"/>
      <c r="O8" s="1"/>
      <c r="P8" s="1"/>
      <c r="Q8" s="1"/>
      <c r="R8" s="1"/>
      <c r="S8" s="1"/>
      <c r="T8" s="1"/>
      <c r="U8" s="1"/>
      <c r="V8" s="1"/>
      <c r="W8" s="1"/>
      <c r="X8" s="1"/>
      <c r="Y8" s="1"/>
      <c r="Z8" s="1"/>
      <c r="AA8" s="1"/>
      <c r="AB8" s="1"/>
      <c r="AC8" s="1"/>
      <c r="AD8" s="1"/>
      <c r="AE8" s="1"/>
      <c r="AF8" s="1"/>
    </row>
    <row r="9" spans="1:32"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row>
    <row r="10" spans="1:32"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row>
    <row r="11" spans="1:32"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row>
    <row r="12" spans="1:32"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row>
    <row r="13" spans="1:32"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row>
    <row r="14" spans="1:32"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row>
    <row r="15" spans="1:32"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row>
    <row r="16" spans="1:32"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row>
    <row r="17" spans="1:32"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row>
    <row r="18" spans="1:32"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row>
    <row r="19" spans="1:32"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row>
    <row r="20" spans="1:32"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row>
    <row r="21" spans="1:32"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row>
    <row r="22" spans="1:32"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row>
    <row r="23" spans="1:32"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row>
    <row r="24" spans="1:32"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row>
    <row r="25" spans="1:32"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row>
    <row r="26" spans="1:32"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row>
    <row r="27" spans="1:32"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row>
    <row r="28" spans="1:32"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row>
    <row r="29" spans="1:32"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row>
    <row r="30" spans="1:3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row>
    <row r="31" spans="1:32"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row>
    <row r="32" spans="1:32"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sheetData>
  <mergeCells count="8">
    <mergeCell ref="A3:B3"/>
    <mergeCell ref="C3:D3"/>
    <mergeCell ref="G3:H3"/>
    <mergeCell ref="A1:F1"/>
    <mergeCell ref="G1:K1"/>
    <mergeCell ref="A2:B2"/>
    <mergeCell ref="C2:D2"/>
    <mergeCell ref="G2:H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CF976591-20D0-40E7-915A-9FDC9C05ABAC}">
          <x14:formula1>
            <xm:f>Categories!$C$22:$C$24</xm:f>
          </x14:formula1>
          <xm:sqref>F5:F8</xm:sqref>
        </x14:dataValidation>
        <x14:dataValidation type="list" allowBlank="1" showInputMessage="1" showErrorMessage="1" xr:uid="{B0EF212F-B3D0-4390-A182-64DF2D5F5AF7}">
          <x14:formula1>
            <xm:f>Categories!$A$22:$A$31</xm:f>
          </x14:formula1>
          <xm:sqref>H5:H8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4652D-2F58-4759-91CA-794C78E86CCD}">
  <sheetPr codeName="Sheet5"/>
  <dimension ref="A1:Z42"/>
  <sheetViews>
    <sheetView zoomScale="180" zoomScaleNormal="180" workbookViewId="0">
      <pane ySplit="4" topLeftCell="A5" activePane="bottomLeft" state="frozen"/>
      <selection pane="bottomLeft" activeCell="B9" sqref="B5:B9"/>
    </sheetView>
  </sheetViews>
  <sheetFormatPr defaultRowHeight="15" x14ac:dyDescent="0.25"/>
  <cols>
    <col min="2" max="2" width="10.140625" customWidth="1"/>
    <col min="3" max="3" width="32.28515625" customWidth="1"/>
    <col min="4" max="4" width="14.42578125" customWidth="1"/>
    <col min="5" max="5" width="16" customWidth="1"/>
    <col min="6" max="6" width="19" customWidth="1"/>
    <col min="7" max="7" width="12.140625" customWidth="1"/>
    <col min="8" max="8" width="9.5703125" customWidth="1"/>
    <col min="9" max="9" width="15.85546875" customWidth="1"/>
    <col min="10" max="10" width="33.5703125" customWidth="1"/>
    <col min="11" max="11" width="17.5703125" customWidth="1"/>
  </cols>
  <sheetData>
    <row r="1" spans="1:26" ht="21" x14ac:dyDescent="0.35">
      <c r="A1" s="104" t="s">
        <v>0</v>
      </c>
      <c r="B1" s="105"/>
      <c r="C1" s="105"/>
      <c r="D1" s="105"/>
      <c r="E1" s="105"/>
      <c r="F1" s="106"/>
      <c r="G1" s="104" t="s">
        <v>1</v>
      </c>
      <c r="H1" s="105"/>
      <c r="I1" s="105"/>
      <c r="J1" s="105"/>
      <c r="K1" s="107"/>
      <c r="L1" s="1"/>
      <c r="M1" s="1"/>
      <c r="N1" s="1"/>
      <c r="O1" s="1"/>
      <c r="P1" s="1"/>
      <c r="Q1" s="1"/>
      <c r="R1" s="1"/>
      <c r="S1" s="1"/>
      <c r="T1" s="1"/>
      <c r="U1" s="1"/>
      <c r="V1" s="1"/>
      <c r="W1" s="1"/>
      <c r="X1" s="1"/>
      <c r="Y1" s="1"/>
      <c r="Z1" s="1"/>
    </row>
    <row r="2" spans="1:26" ht="31.5" customHeight="1" x14ac:dyDescent="0.25">
      <c r="A2" s="108" t="s">
        <v>20</v>
      </c>
      <c r="B2" s="109"/>
      <c r="C2" s="100" t="s">
        <v>95</v>
      </c>
      <c r="D2" s="101"/>
      <c r="E2" s="38" t="s">
        <v>2</v>
      </c>
      <c r="F2" s="39" t="s">
        <v>3</v>
      </c>
      <c r="G2" s="102" t="s">
        <v>10</v>
      </c>
      <c r="H2" s="103"/>
      <c r="I2" s="40" t="str">
        <f>C2</f>
        <v>We Got You Covered</v>
      </c>
      <c r="J2" s="38" t="s">
        <v>2</v>
      </c>
      <c r="K2" s="41" t="s">
        <v>3</v>
      </c>
      <c r="L2" s="1"/>
      <c r="M2" s="1"/>
      <c r="N2" s="1"/>
      <c r="O2" s="1"/>
      <c r="P2" s="1"/>
      <c r="Q2" s="1"/>
      <c r="R2" s="1"/>
      <c r="S2" s="1"/>
      <c r="T2" s="1"/>
      <c r="U2" s="1"/>
      <c r="V2" s="1"/>
      <c r="W2" s="1"/>
      <c r="X2" s="1"/>
      <c r="Y2" s="1"/>
      <c r="Z2" s="1"/>
    </row>
    <row r="3" spans="1:26" ht="28.5" customHeight="1" x14ac:dyDescent="0.25">
      <c r="A3" s="102" t="s">
        <v>14</v>
      </c>
      <c r="B3" s="103"/>
      <c r="C3" s="100" t="s">
        <v>153</v>
      </c>
      <c r="D3" s="101"/>
      <c r="E3" s="38" t="s">
        <v>15</v>
      </c>
      <c r="F3" s="39" t="s">
        <v>152</v>
      </c>
      <c r="G3" s="102" t="s">
        <v>4</v>
      </c>
      <c r="H3" s="103"/>
      <c r="I3" s="40" t="str">
        <f>C3</f>
        <v>Test Plan Calculations</v>
      </c>
      <c r="J3" s="38" t="s">
        <v>15</v>
      </c>
      <c r="K3" s="41" t="str">
        <f>F3</f>
        <v>Ciaran</v>
      </c>
      <c r="L3" s="1"/>
      <c r="M3" s="1"/>
      <c r="N3" s="1"/>
      <c r="O3" s="1"/>
      <c r="P3" s="1"/>
      <c r="Q3" s="1"/>
      <c r="R3" s="1"/>
      <c r="S3" s="1"/>
      <c r="T3" s="1"/>
      <c r="U3" s="1"/>
      <c r="V3" s="1"/>
      <c r="W3" s="1"/>
      <c r="X3" s="1"/>
      <c r="Y3" s="1"/>
      <c r="Z3" s="1"/>
    </row>
    <row r="4" spans="1:26" ht="36" customHeight="1" x14ac:dyDescent="0.25">
      <c r="A4" s="42" t="s">
        <v>5</v>
      </c>
      <c r="B4" s="43" t="s">
        <v>6</v>
      </c>
      <c r="C4" s="43" t="s">
        <v>11</v>
      </c>
      <c r="D4" s="43" t="s">
        <v>88</v>
      </c>
      <c r="E4" s="43" t="s">
        <v>98</v>
      </c>
      <c r="F4" s="44" t="s">
        <v>7</v>
      </c>
      <c r="G4" s="45" t="s">
        <v>8</v>
      </c>
      <c r="H4" s="46" t="s">
        <v>92</v>
      </c>
      <c r="I4" s="46" t="s">
        <v>93</v>
      </c>
      <c r="J4" s="46" t="s">
        <v>9</v>
      </c>
      <c r="K4" s="47" t="s">
        <v>94</v>
      </c>
      <c r="L4" s="1"/>
      <c r="M4" s="1"/>
      <c r="N4" s="1"/>
      <c r="O4" s="1"/>
      <c r="P4" s="1"/>
      <c r="Q4" s="1"/>
      <c r="R4" s="1"/>
      <c r="S4" s="1"/>
      <c r="T4" s="1"/>
      <c r="U4" s="1"/>
      <c r="V4" s="1"/>
      <c r="W4" s="1"/>
      <c r="X4" s="1"/>
      <c r="Y4" s="1"/>
      <c r="Z4" s="1"/>
    </row>
    <row r="5" spans="1:26" ht="30" customHeight="1" x14ac:dyDescent="0.25">
      <c r="A5" s="56">
        <v>5</v>
      </c>
      <c r="B5" s="49">
        <v>45680</v>
      </c>
      <c r="C5" s="50" t="s">
        <v>59</v>
      </c>
      <c r="D5" s="50">
        <v>5.0999999999999996</v>
      </c>
      <c r="E5" s="50" t="s">
        <v>99</v>
      </c>
      <c r="F5" s="51" t="s">
        <v>55</v>
      </c>
      <c r="G5" s="57" t="s">
        <v>91</v>
      </c>
      <c r="H5" s="53">
        <f>TestPlan18[[#This Row],[Test Sub Category No]]</f>
        <v>5.0999999999999996</v>
      </c>
      <c r="I5" s="55">
        <f>TestPlan18[[#This Row],[Date]]</f>
        <v>45680</v>
      </c>
      <c r="J5" s="50"/>
      <c r="K5" s="54"/>
      <c r="L5" s="1"/>
      <c r="M5" s="1"/>
      <c r="N5" s="1"/>
      <c r="O5" s="1"/>
      <c r="P5" s="1"/>
      <c r="Q5" s="1"/>
      <c r="R5" s="1"/>
      <c r="S5" s="1"/>
      <c r="T5" s="1"/>
      <c r="U5" s="1"/>
      <c r="V5" s="1"/>
      <c r="W5" s="1"/>
      <c r="X5" s="1"/>
      <c r="Y5" s="1"/>
      <c r="Z5" s="1"/>
    </row>
    <row r="6" spans="1:26" ht="25.5" x14ac:dyDescent="0.25">
      <c r="A6" s="56"/>
      <c r="B6" s="49">
        <v>45680</v>
      </c>
      <c r="C6" s="50"/>
      <c r="D6" s="50">
        <v>5.2</v>
      </c>
      <c r="E6" s="50" t="s">
        <v>99</v>
      </c>
      <c r="F6" s="51" t="s">
        <v>56</v>
      </c>
      <c r="G6" s="57" t="s">
        <v>91</v>
      </c>
      <c r="H6" s="53">
        <f>TestPlan18[[#This Row],[Test Sub Category No]]</f>
        <v>5.2</v>
      </c>
      <c r="I6" s="55">
        <f>TestPlan18[[#This Row],[Date]]</f>
        <v>45680</v>
      </c>
      <c r="J6" s="50"/>
      <c r="K6" s="54"/>
      <c r="L6" s="1"/>
      <c r="M6" s="1"/>
      <c r="N6" s="1"/>
      <c r="O6" s="1"/>
      <c r="P6" s="1"/>
      <c r="Q6" s="1"/>
      <c r="R6" s="1"/>
      <c r="S6" s="1"/>
      <c r="T6" s="1"/>
      <c r="U6" s="1"/>
      <c r="V6" s="1"/>
      <c r="W6" s="1"/>
      <c r="X6" s="1"/>
      <c r="Y6" s="1"/>
      <c r="Z6" s="1"/>
    </row>
    <row r="7" spans="1:26" ht="25.5" x14ac:dyDescent="0.25">
      <c r="A7" s="56"/>
      <c r="B7" s="49">
        <v>45680</v>
      </c>
      <c r="C7" s="50"/>
      <c r="D7" s="50">
        <v>5.3</v>
      </c>
      <c r="E7" s="50" t="s">
        <v>99</v>
      </c>
      <c r="F7" s="51" t="s">
        <v>57</v>
      </c>
      <c r="G7" s="57" t="s">
        <v>91</v>
      </c>
      <c r="H7" s="53">
        <f>TestPlan18[[#This Row],[Test Sub Category No]]</f>
        <v>5.3</v>
      </c>
      <c r="I7" s="55">
        <f>TestPlan18[[#This Row],[Date]]</f>
        <v>45680</v>
      </c>
      <c r="J7" s="50"/>
      <c r="K7" s="54"/>
      <c r="L7" s="1"/>
      <c r="M7" s="1"/>
      <c r="N7" s="1"/>
      <c r="O7" s="1"/>
      <c r="P7" s="1"/>
      <c r="Q7" s="1"/>
      <c r="R7" s="1"/>
      <c r="S7" s="1"/>
      <c r="T7" s="1"/>
      <c r="U7" s="1"/>
      <c r="V7" s="1"/>
      <c r="W7" s="1"/>
      <c r="X7" s="1"/>
      <c r="Y7" s="1"/>
      <c r="Z7" s="1"/>
    </row>
    <row r="8" spans="1:26" ht="28.5" customHeight="1" x14ac:dyDescent="0.25">
      <c r="A8" s="56">
        <v>6</v>
      </c>
      <c r="B8" s="49">
        <v>45680</v>
      </c>
      <c r="C8" s="50" t="s">
        <v>58</v>
      </c>
      <c r="D8" s="50" t="s">
        <v>17</v>
      </c>
      <c r="E8" s="50"/>
      <c r="F8" s="51"/>
      <c r="G8" s="57" t="s">
        <v>87</v>
      </c>
      <c r="H8" s="58"/>
      <c r="I8" s="55">
        <f>TestPlan18[[#This Row],[Date]]</f>
        <v>45680</v>
      </c>
      <c r="J8" s="50"/>
      <c r="K8" s="54"/>
      <c r="L8" s="1"/>
      <c r="M8" s="1"/>
      <c r="N8" s="1"/>
      <c r="O8" s="1"/>
      <c r="P8" s="1"/>
      <c r="Q8" s="1"/>
      <c r="R8" s="1"/>
      <c r="S8" s="1"/>
      <c r="T8" s="1"/>
      <c r="U8" s="1"/>
      <c r="V8" s="1"/>
      <c r="W8" s="1"/>
      <c r="X8" s="1"/>
      <c r="Y8" s="1"/>
      <c r="Z8" s="1"/>
    </row>
    <row r="9" spans="1:26" ht="15.75" thickBot="1" x14ac:dyDescent="0.3">
      <c r="A9" s="59"/>
      <c r="B9" s="60">
        <v>45680</v>
      </c>
      <c r="C9" s="61"/>
      <c r="D9" s="61"/>
      <c r="E9" s="61"/>
      <c r="F9" s="62"/>
      <c r="G9" s="63"/>
      <c r="H9" s="64"/>
      <c r="I9" s="65">
        <f>TestPlan18[[#This Row],[Date]]</f>
        <v>45680</v>
      </c>
      <c r="J9" s="61"/>
      <c r="K9" s="66"/>
      <c r="L9" s="1"/>
      <c r="M9" s="1"/>
      <c r="N9" s="1"/>
      <c r="O9" s="1"/>
      <c r="P9" s="1"/>
      <c r="Q9" s="1"/>
      <c r="R9" s="1"/>
      <c r="S9" s="1"/>
      <c r="T9" s="1"/>
      <c r="U9" s="1"/>
      <c r="V9" s="1"/>
      <c r="W9" s="1"/>
      <c r="X9" s="1"/>
      <c r="Y9" s="1"/>
      <c r="Z9" s="1"/>
    </row>
    <row r="10" spans="1:26" x14ac:dyDescent="0.2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x14ac:dyDescent="0.25">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x14ac:dyDescent="0.2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x14ac:dyDescent="0.25">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x14ac:dyDescent="0.25">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x14ac:dyDescent="0.25">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x14ac:dyDescent="0.25">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x14ac:dyDescent="0.2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x14ac:dyDescent="0.2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x14ac:dyDescent="0.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sheetData>
  <mergeCells count="8">
    <mergeCell ref="A3:B3"/>
    <mergeCell ref="C3:D3"/>
    <mergeCell ref="G3:H3"/>
    <mergeCell ref="A1:F1"/>
    <mergeCell ref="G1:K1"/>
    <mergeCell ref="A2:B2"/>
    <mergeCell ref="C2:D2"/>
    <mergeCell ref="G2:H2"/>
  </mergeCells>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91F2866-B625-4D32-9625-B52C55AC316C}">
          <x14:formula1>
            <xm:f>Categories!$C$22:$C$24</xm:f>
          </x14:formula1>
          <xm:sqref>E5:E9</xm:sqref>
        </x14:dataValidation>
        <x14:dataValidation type="list" allowBlank="1" showInputMessage="1" showErrorMessage="1" xr:uid="{545D77F9-0D72-40E0-AA2C-69270A165154}">
          <x14:formula1>
            <xm:f>Categories!$A$22:$A$31</xm:f>
          </x14:formula1>
          <xm:sqref>G5:G9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7BE7A-CDDA-48FE-95DE-87E305C04F02}">
  <dimension ref="A1:AB117"/>
  <sheetViews>
    <sheetView workbookViewId="0">
      <selection activeCell="C3" sqref="C3:D3"/>
    </sheetView>
  </sheetViews>
  <sheetFormatPr defaultRowHeight="15" x14ac:dyDescent="0.25"/>
  <cols>
    <col min="2" max="2" width="14.5703125" customWidth="1"/>
    <col min="3" max="3" width="23" customWidth="1"/>
    <col min="4" max="4" width="12.42578125" customWidth="1"/>
    <col min="5" max="5" width="11.28515625" customWidth="1"/>
    <col min="6" max="6" width="10.7109375" customWidth="1"/>
    <col min="9" max="9" width="14" customWidth="1"/>
    <col min="10" max="10" width="14.42578125" customWidth="1"/>
    <col min="11" max="11" width="22.28515625" customWidth="1"/>
  </cols>
  <sheetData>
    <row r="1" spans="1:28" ht="21" x14ac:dyDescent="0.35">
      <c r="A1" s="114" t="s">
        <v>0</v>
      </c>
      <c r="B1" s="115"/>
      <c r="C1" s="115"/>
      <c r="D1" s="115"/>
      <c r="E1" s="115"/>
      <c r="F1" s="116"/>
      <c r="G1" s="114" t="s">
        <v>1</v>
      </c>
      <c r="H1" s="115"/>
      <c r="I1" s="115"/>
      <c r="J1" s="115"/>
      <c r="K1" s="117"/>
      <c r="L1" s="19"/>
      <c r="M1" s="19"/>
      <c r="N1" s="19"/>
      <c r="O1" s="19"/>
      <c r="P1" s="19"/>
      <c r="Q1" s="19"/>
      <c r="R1" s="19"/>
      <c r="S1" s="19"/>
      <c r="T1" s="19"/>
      <c r="U1" s="19"/>
      <c r="V1" s="19"/>
      <c r="W1" s="19"/>
      <c r="X1" s="19"/>
      <c r="Y1" s="19"/>
      <c r="Z1" s="19"/>
      <c r="AA1" s="19"/>
      <c r="AB1" s="19"/>
    </row>
    <row r="2" spans="1:28" ht="30" x14ac:dyDescent="0.25">
      <c r="A2" s="118" t="s">
        <v>20</v>
      </c>
      <c r="B2" s="119"/>
      <c r="C2" s="112" t="s">
        <v>155</v>
      </c>
      <c r="D2" s="113"/>
      <c r="E2" s="83" t="s">
        <v>2</v>
      </c>
      <c r="F2" s="84" t="s">
        <v>3</v>
      </c>
      <c r="G2" s="110" t="s">
        <v>10</v>
      </c>
      <c r="H2" s="111"/>
      <c r="I2" s="85" t="str">
        <f>C2</f>
        <v>Different Coat</v>
      </c>
      <c r="J2" s="83" t="s">
        <v>2</v>
      </c>
      <c r="K2" s="86" t="s">
        <v>3</v>
      </c>
      <c r="L2" s="19"/>
      <c r="M2" s="19"/>
      <c r="N2" s="19"/>
      <c r="O2" s="19"/>
      <c r="P2" s="19"/>
      <c r="Q2" s="19"/>
      <c r="R2" s="19"/>
      <c r="S2" s="19"/>
      <c r="T2" s="19"/>
      <c r="U2" s="19"/>
      <c r="V2" s="19"/>
      <c r="W2" s="19"/>
      <c r="X2" s="19"/>
      <c r="Y2" s="19"/>
      <c r="Z2" s="19"/>
      <c r="AA2" s="19"/>
      <c r="AB2" s="19"/>
    </row>
    <row r="3" spans="1:28" ht="30" x14ac:dyDescent="0.25">
      <c r="A3" s="110" t="s">
        <v>14</v>
      </c>
      <c r="B3" s="111"/>
      <c r="C3" s="112" t="s">
        <v>211</v>
      </c>
      <c r="D3" s="113"/>
      <c r="E3" s="83" t="s">
        <v>15</v>
      </c>
      <c r="F3" s="84" t="s">
        <v>154</v>
      </c>
      <c r="G3" s="110" t="s">
        <v>4</v>
      </c>
      <c r="H3" s="111"/>
      <c r="I3" s="85" t="str">
        <f>C3</f>
        <v>Constants Class</v>
      </c>
      <c r="J3" s="83" t="s">
        <v>15</v>
      </c>
      <c r="K3" s="86" t="str">
        <f>F3</f>
        <v>Ciaran Lynch</v>
      </c>
      <c r="L3" s="19"/>
      <c r="M3" s="19"/>
      <c r="N3" s="19"/>
      <c r="O3" s="19"/>
      <c r="P3" s="19"/>
      <c r="Q3" s="19"/>
      <c r="R3" s="19"/>
      <c r="S3" s="19"/>
      <c r="T3" s="19"/>
      <c r="U3" s="19"/>
      <c r="V3" s="19"/>
      <c r="W3" s="19"/>
      <c r="X3" s="19"/>
      <c r="Y3" s="19"/>
      <c r="Z3" s="19"/>
      <c r="AA3" s="19"/>
      <c r="AB3" s="19"/>
    </row>
    <row r="4" spans="1:28" ht="42" customHeight="1" x14ac:dyDescent="0.25">
      <c r="A4" s="87" t="s">
        <v>5</v>
      </c>
      <c r="B4" s="88" t="s">
        <v>6</v>
      </c>
      <c r="C4" s="88" t="s">
        <v>11</v>
      </c>
      <c r="D4" s="88" t="s">
        <v>157</v>
      </c>
      <c r="E4" s="88" t="s">
        <v>88</v>
      </c>
      <c r="F4" s="88" t="s">
        <v>98</v>
      </c>
      <c r="G4" s="89" t="s">
        <v>161</v>
      </c>
      <c r="H4" s="90" t="s">
        <v>160</v>
      </c>
      <c r="I4" s="91" t="s">
        <v>93</v>
      </c>
      <c r="J4" s="91" t="s">
        <v>9</v>
      </c>
      <c r="K4" s="92" t="s">
        <v>94</v>
      </c>
      <c r="L4" s="19"/>
      <c r="M4" s="19"/>
      <c r="N4" s="19"/>
      <c r="O4" s="19"/>
      <c r="P4" s="19"/>
      <c r="Q4" s="19"/>
      <c r="R4" s="19"/>
      <c r="S4" s="19"/>
      <c r="T4" s="19"/>
      <c r="U4" s="19"/>
      <c r="V4" s="19"/>
      <c r="W4" s="19"/>
      <c r="X4" s="19"/>
      <c r="Y4" s="19"/>
      <c r="Z4" s="19"/>
      <c r="AA4" s="19"/>
      <c r="AB4" s="19"/>
    </row>
    <row r="5" spans="1:28" ht="24.95" customHeight="1" x14ac:dyDescent="0.25">
      <c r="A5" s="78">
        <v>5.0999999999999996</v>
      </c>
      <c r="B5" s="93">
        <v>45778</v>
      </c>
      <c r="C5" s="94" t="s">
        <v>222</v>
      </c>
      <c r="D5" s="94" t="s">
        <v>210</v>
      </c>
      <c r="E5" s="80">
        <f>TestPlan19[[#This Row],[Test No]]</f>
        <v>5.0999999999999996</v>
      </c>
      <c r="F5" s="94" t="s">
        <v>99</v>
      </c>
      <c r="G5" s="94" t="s">
        <v>209</v>
      </c>
      <c r="H5" s="95" t="s">
        <v>89</v>
      </c>
      <c r="I5" s="96">
        <f>TestPlan19[[#This Row],[Date]]</f>
        <v>45778</v>
      </c>
      <c r="J5" s="80" t="s">
        <v>189</v>
      </c>
      <c r="K5" s="97"/>
      <c r="L5" s="19"/>
      <c r="M5" s="19"/>
      <c r="N5" s="19"/>
      <c r="O5" s="19"/>
      <c r="P5" s="19"/>
      <c r="Q5" s="19"/>
      <c r="R5" s="19"/>
      <c r="S5" s="19"/>
      <c r="T5" s="19"/>
      <c r="U5" s="19"/>
      <c r="V5" s="19"/>
      <c r="W5" s="19"/>
      <c r="X5" s="19"/>
      <c r="Y5" s="19"/>
      <c r="Z5" s="19"/>
      <c r="AA5" s="19"/>
      <c r="AB5" s="19"/>
    </row>
    <row r="6" spans="1:28" ht="24.95" customHeight="1" x14ac:dyDescent="0.25">
      <c r="A6" s="78">
        <v>5.2</v>
      </c>
      <c r="B6" s="93" t="s">
        <v>212</v>
      </c>
      <c r="C6" s="94" t="s">
        <v>217</v>
      </c>
      <c r="D6" s="94" t="s">
        <v>213</v>
      </c>
      <c r="E6" s="80">
        <f>TestPlan19[[#This Row],[Test No]]</f>
        <v>5.2</v>
      </c>
      <c r="F6" s="94" t="s">
        <v>99</v>
      </c>
      <c r="G6" s="94" t="s">
        <v>209</v>
      </c>
      <c r="H6" s="95" t="s">
        <v>89</v>
      </c>
      <c r="I6" s="96" t="str">
        <f>TestPlan19[[#This Row],[Date]]</f>
        <v>01/05/202</v>
      </c>
      <c r="J6" s="80" t="s">
        <v>189</v>
      </c>
      <c r="K6" s="97"/>
      <c r="L6" s="19"/>
      <c r="M6" s="19"/>
      <c r="N6" s="19"/>
      <c r="O6" s="19"/>
      <c r="P6" s="19"/>
      <c r="Q6" s="19"/>
      <c r="R6" s="19"/>
      <c r="S6" s="19"/>
      <c r="T6" s="19"/>
      <c r="U6" s="19"/>
      <c r="V6" s="19"/>
      <c r="W6" s="19"/>
      <c r="X6" s="19"/>
      <c r="Y6" s="19"/>
      <c r="Z6" s="19"/>
      <c r="AA6" s="19"/>
      <c r="AB6" s="19"/>
    </row>
    <row r="7" spans="1:28" ht="25.5" x14ac:dyDescent="0.25">
      <c r="A7" s="78">
        <v>5.3</v>
      </c>
      <c r="B7" s="93">
        <v>45778</v>
      </c>
      <c r="C7" s="94" t="s">
        <v>218</v>
      </c>
      <c r="D7" s="94" t="s">
        <v>220</v>
      </c>
      <c r="E7" s="80">
        <f>TestPlan19[[#This Row],[Test No]]</f>
        <v>5.3</v>
      </c>
      <c r="F7" s="94" t="s">
        <v>99</v>
      </c>
      <c r="G7" s="94" t="s">
        <v>209</v>
      </c>
      <c r="H7" s="95" t="s">
        <v>89</v>
      </c>
      <c r="I7" s="96">
        <f>TestPlan19[[#This Row],[Date]]</f>
        <v>45778</v>
      </c>
      <c r="J7" s="80" t="s">
        <v>189</v>
      </c>
      <c r="K7" s="97"/>
      <c r="L7" s="19"/>
      <c r="M7" s="19"/>
      <c r="N7" s="19"/>
      <c r="O7" s="19"/>
      <c r="P7" s="19"/>
      <c r="Q7" s="19"/>
      <c r="R7" s="19"/>
      <c r="S7" s="19"/>
      <c r="T7" s="19"/>
      <c r="U7" s="19"/>
      <c r="V7" s="19"/>
      <c r="W7" s="19"/>
      <c r="X7" s="19"/>
      <c r="Y7" s="19"/>
      <c r="Z7" s="19"/>
      <c r="AA7" s="19"/>
      <c r="AB7" s="19"/>
    </row>
    <row r="8" spans="1:28" ht="25.5" x14ac:dyDescent="0.25">
      <c r="A8" s="78">
        <v>5.4</v>
      </c>
      <c r="B8" s="93">
        <v>45778</v>
      </c>
      <c r="C8" s="94" t="s">
        <v>219</v>
      </c>
      <c r="D8" s="94" t="s">
        <v>221</v>
      </c>
      <c r="E8" s="80">
        <f>TestPlan19[[#This Row],[Test No]]</f>
        <v>5.4</v>
      </c>
      <c r="F8" s="94" t="s">
        <v>99</v>
      </c>
      <c r="G8" s="94" t="s">
        <v>209</v>
      </c>
      <c r="H8" s="95" t="s">
        <v>89</v>
      </c>
      <c r="I8" s="96">
        <f>TestPlan19[[#This Row],[Date]]</f>
        <v>45778</v>
      </c>
      <c r="J8" s="80" t="s">
        <v>189</v>
      </c>
      <c r="K8" s="97"/>
      <c r="L8" s="19"/>
      <c r="M8" s="19"/>
      <c r="N8" s="19"/>
      <c r="O8" s="19"/>
      <c r="P8" s="19"/>
      <c r="Q8" s="19"/>
      <c r="R8" s="19"/>
      <c r="S8" s="19"/>
      <c r="T8" s="19"/>
      <c r="U8" s="19"/>
      <c r="V8" s="19"/>
      <c r="W8" s="19"/>
      <c r="X8" s="19"/>
      <c r="Y8" s="19"/>
      <c r="Z8" s="19"/>
      <c r="AA8" s="19"/>
      <c r="AB8" s="19"/>
    </row>
    <row r="9" spans="1:28" x14ac:dyDescent="0.25">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row>
    <row r="10" spans="1:28" x14ac:dyDescent="0.25">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row>
    <row r="11" spans="1:28" x14ac:dyDescent="0.25">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row>
    <row r="12" spans="1:28" x14ac:dyDescent="0.2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row>
    <row r="13" spans="1:28" x14ac:dyDescent="0.2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row>
    <row r="14" spans="1:28" x14ac:dyDescent="0.2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row>
    <row r="15" spans="1:28" x14ac:dyDescent="0.2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row>
    <row r="16" spans="1:28" x14ac:dyDescent="0.2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row>
    <row r="17" spans="1:28" x14ac:dyDescent="0.2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row>
    <row r="18" spans="1:28" x14ac:dyDescent="0.2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row>
    <row r="19" spans="1:28" x14ac:dyDescent="0.2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row>
    <row r="20" spans="1:28" x14ac:dyDescent="0.2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row>
    <row r="21" spans="1:28" x14ac:dyDescent="0.2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row>
    <row r="22" spans="1:28" x14ac:dyDescent="0.2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row>
    <row r="23" spans="1:28" x14ac:dyDescent="0.2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row>
    <row r="24" spans="1:28" x14ac:dyDescent="0.2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row>
    <row r="25" spans="1:28" x14ac:dyDescent="0.2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row>
    <row r="26" spans="1:28" x14ac:dyDescent="0.2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row>
    <row r="27" spans="1:28" x14ac:dyDescent="0.2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row>
    <row r="28" spans="1:28" x14ac:dyDescent="0.2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row>
    <row r="29" spans="1:28" x14ac:dyDescent="0.2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row>
    <row r="30" spans="1:28" x14ac:dyDescent="0.2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row>
    <row r="31" spans="1:28" x14ac:dyDescent="0.2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row>
    <row r="32" spans="1:28" x14ac:dyDescent="0.2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row>
    <row r="33" spans="1:28" x14ac:dyDescent="0.2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row>
    <row r="34" spans="1:28" x14ac:dyDescent="0.2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row>
    <row r="35" spans="1:28" x14ac:dyDescent="0.2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row>
    <row r="36" spans="1:28" x14ac:dyDescent="0.2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row>
    <row r="37" spans="1:28" x14ac:dyDescent="0.25">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row>
    <row r="38" spans="1:28" x14ac:dyDescent="0.25">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row>
    <row r="39" spans="1:28" x14ac:dyDescent="0.25">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row>
    <row r="40" spans="1:28" x14ac:dyDescent="0.25">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row>
    <row r="41" spans="1:28" x14ac:dyDescent="0.25">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row>
    <row r="42" spans="1:28" x14ac:dyDescent="0.25">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row>
    <row r="43" spans="1:28" x14ac:dyDescent="0.25">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row>
    <row r="44" spans="1:28" x14ac:dyDescent="0.2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row>
    <row r="45" spans="1:28" x14ac:dyDescent="0.2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row>
    <row r="46" spans="1:28" x14ac:dyDescent="0.2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row>
    <row r="47" spans="1:28" x14ac:dyDescent="0.2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row>
    <row r="48" spans="1:28" x14ac:dyDescent="0.2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row>
    <row r="49" spans="1:28" x14ac:dyDescent="0.2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row>
    <row r="50" spans="1:28" x14ac:dyDescent="0.2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row>
    <row r="51" spans="1:28" x14ac:dyDescent="0.2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row>
    <row r="52" spans="1:28" x14ac:dyDescent="0.2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row>
    <row r="53" spans="1:28" x14ac:dyDescent="0.2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row>
    <row r="54" spans="1:28" x14ac:dyDescent="0.2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row>
    <row r="55" spans="1:28"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row>
    <row r="56" spans="1:28" x14ac:dyDescent="0.2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row>
    <row r="57" spans="1:28" x14ac:dyDescent="0.2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row>
    <row r="58" spans="1:28" x14ac:dyDescent="0.2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row>
    <row r="59" spans="1:28" x14ac:dyDescent="0.2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row>
    <row r="60" spans="1:28" x14ac:dyDescent="0.2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row>
    <row r="61" spans="1:28" x14ac:dyDescent="0.2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row>
    <row r="62" spans="1:28" x14ac:dyDescent="0.2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row>
    <row r="63" spans="1:28" x14ac:dyDescent="0.2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row>
    <row r="64" spans="1:28" x14ac:dyDescent="0.2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row>
    <row r="65" spans="1:28" x14ac:dyDescent="0.2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row>
    <row r="66" spans="1:28" x14ac:dyDescent="0.2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row>
    <row r="67" spans="1:28" x14ac:dyDescent="0.2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row>
    <row r="68" spans="1:28" x14ac:dyDescent="0.2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row>
    <row r="69" spans="1:28" x14ac:dyDescent="0.2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row>
    <row r="70" spans="1:28" x14ac:dyDescent="0.2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row>
    <row r="71" spans="1:28" x14ac:dyDescent="0.2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row>
    <row r="72" spans="1:28" x14ac:dyDescent="0.2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row>
    <row r="73" spans="1:28" x14ac:dyDescent="0.2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row>
    <row r="74" spans="1:28" x14ac:dyDescent="0.2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row>
    <row r="75" spans="1:28" x14ac:dyDescent="0.2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row>
    <row r="76" spans="1:28" x14ac:dyDescent="0.2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row>
    <row r="77" spans="1:28" x14ac:dyDescent="0.2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row>
    <row r="78" spans="1:28" x14ac:dyDescent="0.2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row>
    <row r="79" spans="1:28" x14ac:dyDescent="0.2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row>
    <row r="80" spans="1:28" x14ac:dyDescent="0.2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row>
    <row r="81" spans="1:28" x14ac:dyDescent="0.2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row>
    <row r="82" spans="1:28" x14ac:dyDescent="0.2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row>
    <row r="83" spans="1:28" x14ac:dyDescent="0.2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row>
    <row r="84" spans="1:28" x14ac:dyDescent="0.2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row>
    <row r="85" spans="1:28" x14ac:dyDescent="0.2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row>
    <row r="86" spans="1:28" x14ac:dyDescent="0.2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row>
    <row r="87" spans="1:28" x14ac:dyDescent="0.2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row>
    <row r="88" spans="1:28" x14ac:dyDescent="0.2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row>
    <row r="89" spans="1:28" x14ac:dyDescent="0.2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row>
    <row r="90" spans="1:28" x14ac:dyDescent="0.2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row>
    <row r="91" spans="1:28" x14ac:dyDescent="0.2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row>
    <row r="92" spans="1:28" x14ac:dyDescent="0.2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row>
    <row r="93" spans="1:28" x14ac:dyDescent="0.2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row>
    <row r="94" spans="1:28" x14ac:dyDescent="0.2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row>
    <row r="95" spans="1:28" x14ac:dyDescent="0.2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row>
    <row r="96" spans="1:28" x14ac:dyDescent="0.2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row>
    <row r="97" spans="1:28" x14ac:dyDescent="0.2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row>
    <row r="98" spans="1:28" x14ac:dyDescent="0.2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row>
    <row r="99" spans="1:28" x14ac:dyDescent="0.2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row>
    <row r="100" spans="1:28"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row>
    <row r="101" spans="1:28"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row>
    <row r="102" spans="1:28"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row>
    <row r="103" spans="1:28"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row>
    <row r="104" spans="1:28"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row>
    <row r="105" spans="1:28"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row>
    <row r="106" spans="1:28"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row>
    <row r="107" spans="1:28"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row>
    <row r="108" spans="1:28"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row>
    <row r="109" spans="1:28"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row>
    <row r="110" spans="1:28"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row>
    <row r="111" spans="1:28"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row>
    <row r="112" spans="1:28"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row>
    <row r="113" spans="1:28"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row>
    <row r="114" spans="1:28"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row>
    <row r="115" spans="1:28"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row>
    <row r="116" spans="1:28"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row>
    <row r="117" spans="1:28"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row>
  </sheetData>
  <mergeCells count="8">
    <mergeCell ref="A3:B3"/>
    <mergeCell ref="C3:D3"/>
    <mergeCell ref="G3:H3"/>
    <mergeCell ref="A1:F1"/>
    <mergeCell ref="G1:K1"/>
    <mergeCell ref="A2:B2"/>
    <mergeCell ref="C2:D2"/>
    <mergeCell ref="G2:H2"/>
  </mergeCells>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84600D9-AE38-4CED-A053-6DCC92952C9F}">
          <x14:formula1>
            <xm:f>Categories!$C$22:$C$24</xm:f>
          </x14:formula1>
          <xm:sqref>F5:F8</xm:sqref>
        </x14:dataValidation>
        <x14:dataValidation type="list" allowBlank="1" showInputMessage="1" showErrorMessage="1" xr:uid="{4587FAAE-62B8-4E39-B384-343CB0D71ABD}">
          <x14:formula1>
            <xm:f>Categories!$A$22:$A$31</xm:f>
          </x14:formula1>
          <xm:sqref>H5:H8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48C50-3A22-4CBD-9F0B-45F9C29ADED5}">
  <dimension ref="A1:AI32"/>
  <sheetViews>
    <sheetView workbookViewId="0">
      <selection activeCell="K7" sqref="K7"/>
    </sheetView>
  </sheetViews>
  <sheetFormatPr defaultRowHeight="15" x14ac:dyDescent="0.25"/>
  <cols>
    <col min="2" max="2" width="12" customWidth="1"/>
    <col min="3" max="3" width="18.42578125" customWidth="1"/>
    <col min="4" max="4" width="19.42578125" customWidth="1"/>
    <col min="5" max="5" width="10.42578125" customWidth="1"/>
    <col min="7" max="7" width="12.42578125" customWidth="1"/>
    <col min="9" max="9" width="11" customWidth="1"/>
    <col min="11" max="11" width="14" customWidth="1"/>
  </cols>
  <sheetData>
    <row r="1" spans="1:35" ht="21" x14ac:dyDescent="0.35">
      <c r="A1" s="104" t="s">
        <v>0</v>
      </c>
      <c r="B1" s="105"/>
      <c r="C1" s="105"/>
      <c r="D1" s="105"/>
      <c r="E1" s="105"/>
      <c r="F1" s="106"/>
      <c r="G1" s="104" t="s">
        <v>1</v>
      </c>
      <c r="H1" s="105"/>
      <c r="I1" s="105"/>
      <c r="J1" s="105"/>
      <c r="K1" s="107"/>
      <c r="L1" s="1"/>
      <c r="M1" s="1"/>
      <c r="N1" s="1"/>
      <c r="O1" s="1"/>
      <c r="P1" s="1"/>
      <c r="Q1" s="1"/>
      <c r="R1" s="1"/>
      <c r="S1" s="1"/>
      <c r="T1" s="1"/>
      <c r="U1" s="1"/>
      <c r="V1" s="1"/>
      <c r="W1" s="1"/>
      <c r="X1" s="1"/>
      <c r="Y1" s="1"/>
      <c r="Z1" s="1"/>
      <c r="AA1" s="1"/>
      <c r="AB1" s="1"/>
      <c r="AC1" s="1"/>
      <c r="AD1" s="1"/>
      <c r="AE1" s="1"/>
      <c r="AF1" s="1"/>
      <c r="AG1" s="1"/>
      <c r="AH1" s="1"/>
      <c r="AI1" s="1"/>
    </row>
    <row r="2" spans="1:35" ht="30" x14ac:dyDescent="0.25">
      <c r="A2" s="108" t="s">
        <v>20</v>
      </c>
      <c r="B2" s="109"/>
      <c r="C2" s="100" t="s">
        <v>155</v>
      </c>
      <c r="D2" s="101"/>
      <c r="E2" s="38" t="s">
        <v>2</v>
      </c>
      <c r="F2" s="39" t="s">
        <v>3</v>
      </c>
      <c r="G2" s="102" t="s">
        <v>10</v>
      </c>
      <c r="H2" s="103"/>
      <c r="I2" s="40" t="str">
        <f>C2</f>
        <v>Different Coat</v>
      </c>
      <c r="J2" s="38" t="s">
        <v>2</v>
      </c>
      <c r="K2" s="41" t="s">
        <v>3</v>
      </c>
      <c r="L2" s="1"/>
      <c r="M2" s="1"/>
      <c r="N2" s="1"/>
      <c r="O2" s="1"/>
      <c r="P2" s="1"/>
      <c r="Q2" s="1"/>
      <c r="R2" s="1"/>
      <c r="S2" s="1"/>
      <c r="T2" s="1"/>
      <c r="U2" s="1"/>
      <c r="V2" s="1"/>
      <c r="W2" s="1"/>
      <c r="X2" s="1"/>
      <c r="Y2" s="1"/>
      <c r="Z2" s="1"/>
      <c r="AA2" s="1"/>
      <c r="AB2" s="1"/>
      <c r="AC2" s="1"/>
      <c r="AD2" s="1"/>
      <c r="AE2" s="1"/>
      <c r="AF2" s="1"/>
      <c r="AG2" s="1"/>
      <c r="AH2" s="1"/>
      <c r="AI2" s="1"/>
    </row>
    <row r="3" spans="1:35" ht="30" x14ac:dyDescent="0.25">
      <c r="A3" s="102" t="s">
        <v>14</v>
      </c>
      <c r="B3" s="103"/>
      <c r="C3" s="100" t="s">
        <v>225</v>
      </c>
      <c r="D3" s="101"/>
      <c r="E3" s="38" t="s">
        <v>15</v>
      </c>
      <c r="F3" s="39" t="s">
        <v>154</v>
      </c>
      <c r="G3" s="102" t="s">
        <v>4</v>
      </c>
      <c r="H3" s="103"/>
      <c r="I3" s="40" t="str">
        <f>C3</f>
        <v>Customer Imports</v>
      </c>
      <c r="J3" s="38" t="s">
        <v>15</v>
      </c>
      <c r="K3" s="41" t="str">
        <f>F3</f>
        <v>Ciaran Lynch</v>
      </c>
      <c r="L3" s="1"/>
      <c r="M3" s="1"/>
      <c r="N3" s="1"/>
      <c r="O3" s="1"/>
      <c r="P3" s="1"/>
      <c r="Q3" s="1"/>
      <c r="R3" s="1"/>
      <c r="S3" s="1"/>
      <c r="T3" s="1"/>
      <c r="U3" s="1"/>
      <c r="V3" s="1"/>
      <c r="W3" s="1"/>
      <c r="X3" s="1"/>
      <c r="Y3" s="1"/>
      <c r="Z3" s="1"/>
      <c r="AA3" s="1"/>
      <c r="AB3" s="1"/>
      <c r="AC3" s="1"/>
      <c r="AD3" s="1"/>
      <c r="AE3" s="1"/>
      <c r="AF3" s="1"/>
      <c r="AG3" s="1"/>
      <c r="AH3" s="1"/>
      <c r="AI3" s="1"/>
    </row>
    <row r="4" spans="1:35" ht="51" x14ac:dyDescent="0.25">
      <c r="A4" s="42" t="s">
        <v>5</v>
      </c>
      <c r="B4" s="43" t="s">
        <v>6</v>
      </c>
      <c r="C4" s="43" t="s">
        <v>11</v>
      </c>
      <c r="D4" s="43" t="s">
        <v>157</v>
      </c>
      <c r="E4" s="43" t="s">
        <v>88</v>
      </c>
      <c r="F4" s="43" t="s">
        <v>98</v>
      </c>
      <c r="G4" s="44" t="s">
        <v>161</v>
      </c>
      <c r="H4" s="45" t="s">
        <v>160</v>
      </c>
      <c r="I4" s="46" t="s">
        <v>93</v>
      </c>
      <c r="J4" s="46" t="s">
        <v>9</v>
      </c>
      <c r="K4" s="47" t="s">
        <v>94</v>
      </c>
      <c r="L4" s="1"/>
      <c r="M4" s="1"/>
      <c r="N4" s="1"/>
      <c r="O4" s="1"/>
      <c r="P4" s="1"/>
      <c r="Q4" s="1"/>
      <c r="R4" s="1"/>
      <c r="S4" s="1"/>
      <c r="T4" s="1"/>
      <c r="U4" s="1"/>
      <c r="V4" s="1"/>
      <c r="W4" s="1"/>
      <c r="X4" s="1"/>
      <c r="Y4" s="1"/>
      <c r="Z4" s="1"/>
      <c r="AA4" s="1"/>
      <c r="AB4" s="1"/>
      <c r="AC4" s="1"/>
      <c r="AD4" s="1"/>
      <c r="AE4" s="1"/>
      <c r="AF4" s="1"/>
      <c r="AG4" s="1"/>
      <c r="AH4" s="1"/>
      <c r="AI4" s="1"/>
    </row>
    <row r="5" spans="1:35" ht="39.950000000000003" customHeight="1" x14ac:dyDescent="0.25">
      <c r="A5" s="78">
        <v>6.1</v>
      </c>
      <c r="B5" s="79">
        <v>45774</v>
      </c>
      <c r="C5" s="80" t="s">
        <v>201</v>
      </c>
      <c r="D5" s="80" t="s">
        <v>205</v>
      </c>
      <c r="E5" s="80">
        <f>TestPlan22[[#This Row],[Test No]]</f>
        <v>6.1</v>
      </c>
      <c r="F5" s="80" t="s">
        <v>99</v>
      </c>
      <c r="G5" s="80" t="s">
        <v>203</v>
      </c>
      <c r="H5" s="81" t="s">
        <v>89</v>
      </c>
      <c r="I5" s="79">
        <f>TestPlan22[[#This Row],[Date]]</f>
        <v>45774</v>
      </c>
      <c r="J5" s="50"/>
      <c r="K5" s="82"/>
      <c r="L5" s="1"/>
      <c r="M5" s="1"/>
      <c r="N5" s="1"/>
      <c r="O5" s="1"/>
      <c r="P5" s="1"/>
      <c r="Q5" s="1"/>
      <c r="R5" s="1"/>
      <c r="S5" s="1"/>
      <c r="T5" s="1"/>
      <c r="U5" s="1"/>
      <c r="V5" s="1"/>
      <c r="W5" s="1"/>
      <c r="X5" s="1"/>
      <c r="Y5" s="1"/>
      <c r="Z5" s="1"/>
      <c r="AA5" s="1"/>
      <c r="AB5" s="1"/>
      <c r="AC5" s="1"/>
      <c r="AD5" s="1"/>
      <c r="AE5" s="1"/>
      <c r="AF5" s="1"/>
      <c r="AG5" s="1"/>
      <c r="AH5" s="1"/>
      <c r="AI5" s="1"/>
    </row>
    <row r="6" spans="1:35" ht="39.950000000000003" customHeight="1" x14ac:dyDescent="0.25">
      <c r="A6" s="78" t="s">
        <v>223</v>
      </c>
      <c r="B6" s="79">
        <v>45774</v>
      </c>
      <c r="C6" s="80" t="s">
        <v>202</v>
      </c>
      <c r="D6" s="80" t="s">
        <v>206</v>
      </c>
      <c r="E6" s="80" t="str">
        <f>TestPlan22[[#This Row],[Test No]]</f>
        <v>6..2</v>
      </c>
      <c r="F6" s="80" t="s">
        <v>99</v>
      </c>
      <c r="G6" s="80" t="s">
        <v>203</v>
      </c>
      <c r="H6" s="81" t="s">
        <v>90</v>
      </c>
      <c r="I6" s="79">
        <f>TestPlan22[[#This Row],[Date]]</f>
        <v>45774</v>
      </c>
      <c r="J6" s="80" t="s">
        <v>204</v>
      </c>
      <c r="K6" s="82" t="s">
        <v>226</v>
      </c>
      <c r="L6" s="1"/>
      <c r="M6" s="1"/>
      <c r="N6" s="1"/>
      <c r="O6" s="1"/>
      <c r="P6" s="1"/>
      <c r="Q6" s="1"/>
      <c r="R6" s="1"/>
      <c r="S6" s="1"/>
      <c r="T6" s="1"/>
      <c r="U6" s="1"/>
      <c r="V6" s="1"/>
      <c r="W6" s="1"/>
      <c r="X6" s="1"/>
      <c r="Y6" s="1"/>
      <c r="Z6" s="1"/>
      <c r="AA6" s="1"/>
      <c r="AB6" s="1"/>
      <c r="AC6" s="1"/>
      <c r="AD6" s="1"/>
      <c r="AE6" s="1"/>
      <c r="AF6" s="1"/>
      <c r="AG6" s="1"/>
      <c r="AH6" s="1"/>
      <c r="AI6" s="1"/>
    </row>
    <row r="7" spans="1:35"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row>
    <row r="8" spans="1:35"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row>
    <row r="9" spans="1:35"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row>
    <row r="10" spans="1:35"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row>
    <row r="11" spans="1:35"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row>
    <row r="12" spans="1:35"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row>
    <row r="13" spans="1:35"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row>
    <row r="14" spans="1:35"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row>
    <row r="15" spans="1:35"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row>
    <row r="16" spans="1:35"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row>
    <row r="17" spans="1:35"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row>
    <row r="18" spans="1:35"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row>
    <row r="19" spans="1:35"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row>
    <row r="20" spans="1:35"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row>
    <row r="21" spans="1:35"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row>
    <row r="22" spans="1:35"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row>
    <row r="23" spans="1:35"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row>
    <row r="24" spans="1:35"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row>
    <row r="25" spans="1:35"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row>
    <row r="26" spans="1:35"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row>
    <row r="27" spans="1:35"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row>
    <row r="28" spans="1:35"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row>
    <row r="29" spans="1:35"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row>
    <row r="30" spans="1:35"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row>
    <row r="31" spans="1:35"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row>
    <row r="32" spans="1:35" x14ac:dyDescent="0.25">
      <c r="L32" s="1"/>
      <c r="M32" s="1"/>
      <c r="N32" s="1"/>
      <c r="O32" s="1"/>
      <c r="P32" s="1"/>
      <c r="Q32" s="1"/>
      <c r="R32" s="1"/>
      <c r="S32" s="1"/>
      <c r="T32" s="1"/>
      <c r="U32" s="1"/>
      <c r="V32" s="1"/>
      <c r="W32" s="1"/>
      <c r="X32" s="1"/>
      <c r="Y32" s="1"/>
      <c r="Z32" s="1"/>
      <c r="AA32" s="1"/>
      <c r="AB32" s="1"/>
      <c r="AC32" s="1"/>
      <c r="AD32" s="1"/>
      <c r="AE32" s="1"/>
      <c r="AF32" s="1"/>
      <c r="AG32" s="1"/>
      <c r="AH32" s="1"/>
      <c r="AI32" s="1"/>
    </row>
  </sheetData>
  <mergeCells count="8">
    <mergeCell ref="A3:B3"/>
    <mergeCell ref="C3:D3"/>
    <mergeCell ref="G3:H3"/>
    <mergeCell ref="A1:F1"/>
    <mergeCell ref="G1:K1"/>
    <mergeCell ref="A2:B2"/>
    <mergeCell ref="C2:D2"/>
    <mergeCell ref="G2:H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8E2BFED-563E-4123-AD73-6EB60A7E4BDC}">
          <x14:formula1>
            <xm:f>Categories!$C$22:$C$24</xm:f>
          </x14:formula1>
          <xm:sqref>F5:F6</xm:sqref>
        </x14:dataValidation>
        <x14:dataValidation type="list" allowBlank="1" showInputMessage="1" showErrorMessage="1" xr:uid="{DDD9F413-C03F-43E5-8F91-4E5B4E4D11B7}">
          <x14:formula1>
            <xm:f>Categories!$A$22:$A$31</xm:f>
          </x14:formula1>
          <xm:sqref>H5:H6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051EE-EEEE-4012-A311-AA78EF37B68A}">
  <sheetPr codeName="Sheet2"/>
  <dimension ref="A1:AH46"/>
  <sheetViews>
    <sheetView workbookViewId="0">
      <pane ySplit="1" topLeftCell="A2" activePane="bottomLeft" state="frozen"/>
      <selection pane="bottomLeft"/>
    </sheetView>
  </sheetViews>
  <sheetFormatPr defaultRowHeight="15" x14ac:dyDescent="0.25"/>
  <cols>
    <col min="1" max="1" width="16" customWidth="1"/>
    <col min="2" max="2" width="15.5703125" customWidth="1"/>
    <col min="3" max="3" width="18.140625" customWidth="1"/>
    <col min="4" max="4" width="12.7109375" customWidth="1"/>
    <col min="5" max="5" width="42.28515625" customWidth="1"/>
    <col min="6" max="6" width="13.28515625" customWidth="1"/>
    <col min="8" max="8" width="13.140625" bestFit="1" customWidth="1"/>
  </cols>
  <sheetData>
    <row r="1" spans="1:34" ht="30" x14ac:dyDescent="0.25">
      <c r="A1" s="2" t="s">
        <v>5</v>
      </c>
      <c r="B1" s="2" t="s">
        <v>6</v>
      </c>
      <c r="C1" s="3" t="s">
        <v>102</v>
      </c>
      <c r="D1" s="2" t="s">
        <v>18</v>
      </c>
      <c r="E1" s="2" t="s">
        <v>128</v>
      </c>
      <c r="F1" s="2" t="s">
        <v>19</v>
      </c>
      <c r="G1" s="1"/>
      <c r="H1" s="1"/>
      <c r="I1" s="1"/>
      <c r="J1" s="1"/>
      <c r="K1" s="1"/>
      <c r="L1" s="1"/>
      <c r="M1" s="1"/>
      <c r="N1" s="1"/>
      <c r="O1" s="1"/>
      <c r="P1" s="1"/>
      <c r="Q1" s="1"/>
      <c r="R1" s="1"/>
      <c r="S1" s="1"/>
      <c r="T1" s="1"/>
      <c r="U1" s="1"/>
      <c r="V1" s="1"/>
      <c r="W1" s="1"/>
      <c r="X1" s="1"/>
      <c r="Y1" s="1"/>
      <c r="Z1" s="1"/>
      <c r="AA1" s="1"/>
      <c r="AB1" s="1"/>
      <c r="AC1" s="1"/>
      <c r="AD1" s="1"/>
      <c r="AE1" s="1"/>
      <c r="AF1" s="1"/>
      <c r="AG1" s="1"/>
      <c r="AH1" s="1"/>
    </row>
    <row r="2" spans="1:34" ht="76.5" customHeight="1" x14ac:dyDescent="0.25">
      <c r="A2">
        <v>6.2</v>
      </c>
      <c r="B2" s="4">
        <v>45774</v>
      </c>
      <c r="C2" t="s">
        <v>79</v>
      </c>
      <c r="D2">
        <v>1</v>
      </c>
      <c r="E2" s="5" t="s">
        <v>208</v>
      </c>
      <c r="F2" t="str">
        <f>IFERROR(_xlfn.XLOOKUP(TestReport[[#This Row],[Severity]],SeverityReport[Test Severity No],SeverityReport[Backlog]),"")</f>
        <v>No</v>
      </c>
      <c r="G2" s="1"/>
      <c r="H2" s="1"/>
      <c r="I2" s="1"/>
      <c r="J2" s="1"/>
      <c r="K2" s="1"/>
      <c r="L2" s="1"/>
      <c r="M2" s="1"/>
      <c r="N2" s="1"/>
      <c r="O2" s="1"/>
      <c r="P2" s="1"/>
      <c r="Q2" s="1"/>
      <c r="R2" s="1"/>
      <c r="S2" s="1"/>
      <c r="T2" s="1"/>
      <c r="U2" s="1"/>
      <c r="V2" s="1"/>
      <c r="W2" s="1"/>
      <c r="X2" s="1"/>
      <c r="Y2" s="1"/>
      <c r="Z2" s="1"/>
      <c r="AA2" s="1"/>
      <c r="AB2" s="1"/>
      <c r="AC2" s="1"/>
      <c r="AD2" s="1"/>
      <c r="AE2" s="1"/>
      <c r="AF2" s="1"/>
      <c r="AG2" s="1"/>
      <c r="AH2" s="1"/>
    </row>
    <row r="3" spans="1:34" x14ac:dyDescent="0.25">
      <c r="A3" s="1"/>
      <c r="B3" s="1"/>
      <c r="C3" s="1"/>
      <c r="D3" s="1"/>
      <c r="E3" s="98"/>
      <c r="F3" s="1"/>
      <c r="G3" s="1"/>
      <c r="H3" s="1"/>
      <c r="I3" s="1"/>
      <c r="J3" s="1"/>
      <c r="K3" s="1"/>
      <c r="L3" s="1"/>
      <c r="M3" s="1"/>
      <c r="N3" s="1"/>
      <c r="O3" s="1"/>
      <c r="P3" s="1"/>
      <c r="Q3" s="1"/>
      <c r="R3" s="1"/>
      <c r="S3" s="1"/>
      <c r="T3" s="1"/>
      <c r="U3" s="1"/>
      <c r="V3" s="1"/>
      <c r="W3" s="1"/>
      <c r="X3" s="1"/>
      <c r="Y3" s="1"/>
      <c r="Z3" s="1"/>
      <c r="AA3" s="1"/>
      <c r="AB3" s="1"/>
      <c r="AC3" s="1"/>
      <c r="AD3" s="1"/>
      <c r="AE3" s="1"/>
      <c r="AF3" s="1"/>
      <c r="AG3" s="1"/>
      <c r="AH3" s="1"/>
    </row>
    <row r="4" spans="1:34"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row>
    <row r="5" spans="1:34"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row>
    <row r="6" spans="1:34"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row>
    <row r="7" spans="1:34"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row>
    <row r="8" spans="1:34"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row>
    <row r="9" spans="1:34"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row>
    <row r="10" spans="1:34"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row>
    <row r="11" spans="1:34"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row>
    <row r="12" spans="1:34"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row>
    <row r="13" spans="1:34"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row>
    <row r="14" spans="1:34"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row>
    <row r="15" spans="1:34"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row>
    <row r="16" spans="1:34"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row>
    <row r="17" spans="1:34"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row>
    <row r="18" spans="1:34"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row>
    <row r="19" spans="1:34"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row>
    <row r="20" spans="1:34"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row>
    <row r="21" spans="1:34"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row>
    <row r="22" spans="1:34"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row>
    <row r="23" spans="1:34"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row>
    <row r="24" spans="1:34"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row>
    <row r="25" spans="1:34"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row>
    <row r="26" spans="1:34"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row>
    <row r="27" spans="1:34"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row>
    <row r="28" spans="1:34"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row>
    <row r="29" spans="1:34"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row>
    <row r="30" spans="1:34"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row>
    <row r="31" spans="1:34"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row>
    <row r="32" spans="1:34"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row>
    <row r="33" spans="1:34"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row>
    <row r="34" spans="1:34"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row>
    <row r="35" spans="1:34"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row>
    <row r="36" spans="1:34"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row>
    <row r="37" spans="1:34"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row>
    <row r="38" spans="1:3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row>
    <row r="39" spans="1:3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row>
    <row r="40" spans="1:3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row>
    <row r="41" spans="1:3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row>
    <row r="42" spans="1:3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row>
    <row r="43" spans="1:3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row>
    <row r="44" spans="1:3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row>
    <row r="45" spans="1:3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row>
    <row r="46" spans="1:34" x14ac:dyDescent="0.25">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11F391E6-BFC9-4B8A-B99B-32E6CCCBF3DE}">
          <x14:formula1>
            <xm:f>Categories!$A$14:$A$15</xm:f>
          </x14:formula1>
          <xm:sqref>C2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F7550-87E9-465B-B20F-8FA5E6F84B18}">
  <sheetPr codeName="Sheet6"/>
  <dimension ref="A1:AD112"/>
  <sheetViews>
    <sheetView workbookViewId="0">
      <selection activeCell="E33" sqref="E33"/>
    </sheetView>
  </sheetViews>
  <sheetFormatPr defaultRowHeight="15" x14ac:dyDescent="0.25"/>
  <cols>
    <col min="1" max="1" width="61.7109375" bestFit="1" customWidth="1"/>
    <col min="2" max="2" width="61" bestFit="1" customWidth="1"/>
  </cols>
  <sheetData>
    <row r="1" spans="1:30" x14ac:dyDescent="0.25">
      <c r="A1" s="99" t="s">
        <v>224</v>
      </c>
      <c r="B1" s="1" t="s">
        <v>207</v>
      </c>
      <c r="C1" s="1"/>
      <c r="D1" s="1"/>
      <c r="E1" s="1"/>
      <c r="F1" s="1"/>
      <c r="G1" s="1"/>
      <c r="H1" s="1"/>
      <c r="I1" s="1"/>
      <c r="J1" s="1"/>
      <c r="K1" s="1"/>
      <c r="L1" s="1"/>
      <c r="M1" s="1"/>
      <c r="N1" s="1"/>
      <c r="O1" s="1"/>
      <c r="P1" s="1"/>
      <c r="Q1" s="1"/>
      <c r="R1" s="1"/>
      <c r="S1" s="1"/>
      <c r="T1" s="1"/>
      <c r="U1" s="1"/>
      <c r="V1" s="1"/>
      <c r="W1" s="1"/>
      <c r="X1" s="1"/>
      <c r="Y1" s="1"/>
      <c r="Z1" s="1"/>
      <c r="AA1" s="1"/>
      <c r="AB1" s="1"/>
      <c r="AC1" s="1"/>
      <c r="AD1" s="1"/>
    </row>
    <row r="2" spans="1:30"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row>
    <row r="3" spans="1:30"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row>
    <row r="4" spans="1:30"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row>
    <row r="5" spans="1:30"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row>
    <row r="6" spans="1:30"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row>
    <row r="7" spans="1:30"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row>
    <row r="8" spans="1:30"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row>
    <row r="9" spans="1:30"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row>
    <row r="10" spans="1:30"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row>
    <row r="11" spans="1:30"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row>
    <row r="12" spans="1:30"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row>
    <row r="13" spans="1:30"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row>
    <row r="14" spans="1:30"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row>
    <row r="15" spans="1:30"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row>
    <row r="16" spans="1:30"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row>
    <row r="17" spans="1:30"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row>
    <row r="18" spans="1:30"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row>
    <row r="19" spans="1:30"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row>
    <row r="20" spans="1:30"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row>
    <row r="21" spans="1:30"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row>
    <row r="22" spans="1:30"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row>
    <row r="23" spans="1:30"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row>
    <row r="24" spans="1:30"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row>
    <row r="25" spans="1:30"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row>
    <row r="26" spans="1:30"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row>
    <row r="27" spans="1:30"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row>
    <row r="28" spans="1:30"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row>
    <row r="29" spans="1:30"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row>
    <row r="30" spans="1:30"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row>
    <row r="31" spans="1:30"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row>
    <row r="32" spans="1:30"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row>
    <row r="33" spans="1:30"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row>
    <row r="34" spans="1:30"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row>
    <row r="35" spans="1:30"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row>
    <row r="36" spans="1:30"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row>
    <row r="37" spans="1:30"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row>
    <row r="38" spans="1:30"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row>
    <row r="39" spans="1:30"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row>
    <row r="40" spans="1:30"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row>
    <row r="41" spans="1:30"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row>
    <row r="42" spans="1:30"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row>
    <row r="43" spans="1:30"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row>
    <row r="44" spans="1:30"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row>
    <row r="45" spans="1:30"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row>
    <row r="46" spans="1:30"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row>
    <row r="47" spans="1:30"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row>
    <row r="48" spans="1:30"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row>
    <row r="49" spans="1:30"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row>
    <row r="50" spans="1:30"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row>
    <row r="51" spans="1:30"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row>
    <row r="52" spans="1:30"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row>
    <row r="53" spans="1:30"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row>
    <row r="54" spans="1:30"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row>
    <row r="55" spans="1:30"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row>
    <row r="56" spans="1:30"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row>
    <row r="57" spans="1:30"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row>
    <row r="58" spans="1:30"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row>
    <row r="59" spans="1:30"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row>
    <row r="60" spans="1:30"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row>
    <row r="61" spans="1:30"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row>
    <row r="62" spans="1:30"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row>
    <row r="63" spans="1:30"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row>
    <row r="64" spans="1:30"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row>
    <row r="65" spans="1:30"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row>
    <row r="66" spans="1:30"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row>
    <row r="67" spans="1:30"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row>
    <row r="68" spans="1:30"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row>
    <row r="69" spans="1:30"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row>
    <row r="70" spans="1:30"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row>
    <row r="71" spans="1:30"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row>
    <row r="72" spans="1:30"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row>
    <row r="73" spans="1:30"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row>
    <row r="74" spans="1:30"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row>
    <row r="75" spans="1:30"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row>
    <row r="76" spans="1:30"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row>
    <row r="77" spans="1:30"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row>
    <row r="78" spans="1:30"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row>
    <row r="79" spans="1:30"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row>
    <row r="80" spans="1:30"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row>
    <row r="81" spans="1:30"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row>
    <row r="82" spans="1:30"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row>
    <row r="83" spans="1:30"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row>
    <row r="84" spans="1:30"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row>
    <row r="85" spans="1:30"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row>
    <row r="86" spans="1:30"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row>
    <row r="87" spans="1:30"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row>
    <row r="88" spans="1:30"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row>
    <row r="89" spans="1:30"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row>
    <row r="90" spans="1:30"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row>
    <row r="91" spans="1:30"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row>
    <row r="92" spans="1:30"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row>
    <row r="93" spans="1:30"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row>
    <row r="94" spans="1:30"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row>
    <row r="95" spans="1:30"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row>
    <row r="96" spans="1:30"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row>
    <row r="97" spans="1:30"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row>
    <row r="98" spans="1:30"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row>
    <row r="99" spans="1:30"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row>
    <row r="100" spans="1:30"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row>
    <row r="101" spans="1:30"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row>
    <row r="102" spans="1:30"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row>
    <row r="103" spans="1:30"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row>
    <row r="104" spans="1:30"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row>
    <row r="105" spans="1:30"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row>
    <row r="106" spans="1:30"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row>
    <row r="107" spans="1:30"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row>
    <row r="108" spans="1:30"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row>
    <row r="109" spans="1:30"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row>
    <row r="110" spans="1:30"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row>
    <row r="111" spans="1:30"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row>
    <row r="112" spans="1:30"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50C49-E5D1-4B54-9678-CFD29E96D0AA}">
  <sheetPr codeName="Sheet3"/>
  <dimension ref="A1:AS197"/>
  <sheetViews>
    <sheetView workbookViewId="0">
      <pane ySplit="1" topLeftCell="A2" activePane="bottomLeft" state="frozen"/>
      <selection pane="bottomLeft" activeCell="K5" sqref="K5"/>
    </sheetView>
  </sheetViews>
  <sheetFormatPr defaultRowHeight="15" x14ac:dyDescent="0.25"/>
  <cols>
    <col min="1" max="1" width="9.42578125" customWidth="1"/>
    <col min="2" max="2" width="14" customWidth="1"/>
    <col min="3" max="3" width="12.85546875" customWidth="1"/>
    <col min="4" max="4" width="9" customWidth="1"/>
    <col min="5" max="5" width="13.85546875" bestFit="1" customWidth="1"/>
    <col min="6" max="6" width="10" customWidth="1"/>
    <col min="7" max="7" width="19" customWidth="1"/>
    <col min="8" max="8" width="20.85546875" customWidth="1"/>
    <col min="9" max="9" width="14.7109375" customWidth="1"/>
    <col min="10" max="10" width="14.28515625" customWidth="1"/>
    <col min="11" max="11" width="14" customWidth="1"/>
    <col min="12" max="13" width="17.140625" customWidth="1"/>
    <col min="14" max="14" width="18.28515625" customWidth="1"/>
    <col min="15" max="15" width="12.28515625" customWidth="1"/>
    <col min="16" max="16" width="13" customWidth="1"/>
    <col min="17" max="17" width="17.7109375" bestFit="1" customWidth="1"/>
    <col min="18" max="18" width="20.140625" customWidth="1"/>
  </cols>
  <sheetData>
    <row r="1" spans="1:32" ht="57" customHeight="1" x14ac:dyDescent="0.25">
      <c r="A1" s="34" t="s">
        <v>65</v>
      </c>
      <c r="B1" s="35" t="s">
        <v>49</v>
      </c>
      <c r="C1" s="35" t="s">
        <v>50</v>
      </c>
      <c r="D1" s="35" t="s">
        <v>64</v>
      </c>
      <c r="E1" s="35" t="s">
        <v>54</v>
      </c>
      <c r="F1" s="35" t="s">
        <v>66</v>
      </c>
      <c r="G1" s="35" t="s">
        <v>70</v>
      </c>
      <c r="H1" s="35" t="s">
        <v>71</v>
      </c>
      <c r="I1" s="35" t="s">
        <v>60</v>
      </c>
      <c r="J1" s="35" t="s">
        <v>68</v>
      </c>
      <c r="K1" s="35" t="s">
        <v>69</v>
      </c>
      <c r="L1" s="35" t="s">
        <v>51</v>
      </c>
      <c r="M1" s="35" t="s">
        <v>52</v>
      </c>
      <c r="N1" s="35" t="s">
        <v>48</v>
      </c>
      <c r="O1" s="35" t="s">
        <v>67</v>
      </c>
      <c r="P1" s="35" t="s">
        <v>53</v>
      </c>
      <c r="Q1" s="35" t="s">
        <v>75</v>
      </c>
      <c r="R1" s="1"/>
      <c r="S1" s="1"/>
      <c r="T1" s="1"/>
      <c r="U1" s="1"/>
      <c r="V1" s="1"/>
      <c r="W1" s="1"/>
      <c r="X1" s="1"/>
      <c r="Y1" s="1"/>
      <c r="Z1" s="1"/>
      <c r="AA1" s="1"/>
      <c r="AB1" s="1"/>
      <c r="AC1" s="1"/>
      <c r="AD1" s="1"/>
      <c r="AE1" s="1"/>
      <c r="AF1" s="1"/>
    </row>
    <row r="2" spans="1:32" ht="15.75" x14ac:dyDescent="0.25">
      <c r="A2" s="6">
        <v>5.0999999999999996</v>
      </c>
      <c r="B2" s="9" t="s">
        <v>30</v>
      </c>
      <c r="C2" s="8" t="s">
        <v>33</v>
      </c>
      <c r="D2" s="21" t="s">
        <v>63</v>
      </c>
      <c r="E2" s="21">
        <v>9</v>
      </c>
      <c r="F2" s="29">
        <v>40</v>
      </c>
      <c r="G2" s="8">
        <f>IF(Carpet_Test[[#This Row],[Membership_Type]]="Full", 400,IF(Carpet_Test[[#This Row],[Membership_Type]]= "Country", 200,IF(Carpet_Test[[#This Row],[Membership_Type]] = "Day",275,0)))</f>
        <v>400</v>
      </c>
      <c r="H2" s="8" t="s">
        <v>73</v>
      </c>
      <c r="I2" s="20">
        <f>IF(AND(Carpet_Test[[#This Row],[Membership_Type]]="Full", Carpet_Test[[#This Row],[Age_Range]] = "41-80"), 0.2,IF(AND(Carpet_Test[[#This Row],[Membership_Type]] = "Day", Carpet_Test[[#This Row],[Age_Range]] = "41-80"), 0.15,0))</f>
        <v>0</v>
      </c>
      <c r="J2" s="24">
        <f>Carpet_Test[[#This Row],[Basic_Membership_Cost]]*Carpet_Test[[#This Row],[Age_Discount_Due%]]</f>
        <v>0</v>
      </c>
      <c r="K2" s="26">
        <f>Carpet_Test[[#This Row],[Basic_Membership_Cost]]-Carpet_Test[[#This Row],[Age_Discount_Applied]]</f>
        <v>400</v>
      </c>
      <c r="L2" s="27">
        <f>IF(Carpet_Test[[#This Row],[Family_Member?]]="Yes",0.05,0)</f>
        <v>0</v>
      </c>
      <c r="M2" s="31">
        <f>Carpet_Test[[#This Row],[Family_Discount_Due]]*Carpet_Test[[#This Row],[Yearly_Cost]]</f>
        <v>0</v>
      </c>
      <c r="N2" s="9">
        <f>IF(AND(Carpet_Test[[#This Row],[Membership_Type]]="Country", Carpet_Test[[#This Row],[Member_Visits]]&gt;40),20,0)</f>
        <v>0</v>
      </c>
      <c r="O2" s="31">
        <f>(((Carpet_Test[[#This Row],[Yearly_Cost]]/12)*Carpet_Test[[#This Row],[Monthly_Duration]]))-Carpet_Test[[#This Row],[Family_Discount_Applied]]+Carpet_Test[[#This Row],[Country_Member_ Charge]]</f>
        <v>300</v>
      </c>
      <c r="P2" s="31">
        <f>IF(Carpet_Test[[#This Row],[Payment_Method]] = "Monthly Installments",5,0)</f>
        <v>0</v>
      </c>
      <c r="Q2" s="9" t="str">
        <f>IF(Carpet_Test[[#This Row],[Payment_Method]]="Monthly Installments",(Carpet_Test[[#This Row],[Rate_Due]]/Carpet_Test[[#This Row],[Monthly_Duration]])+Carpet_Test[[#This Row],[Registration_Fee]],"")</f>
        <v/>
      </c>
      <c r="R2" s="1"/>
      <c r="S2" s="1"/>
      <c r="T2" s="1"/>
      <c r="U2" s="1"/>
      <c r="V2" s="1"/>
      <c r="W2" s="1"/>
      <c r="X2" s="1"/>
      <c r="Y2" s="1"/>
      <c r="Z2" s="1"/>
      <c r="AA2" s="1"/>
      <c r="AB2" s="1"/>
      <c r="AC2" s="1"/>
      <c r="AD2" s="1"/>
      <c r="AE2" s="1"/>
      <c r="AF2" s="1"/>
    </row>
    <row r="3" spans="1:32" ht="15.75" x14ac:dyDescent="0.25">
      <c r="A3" s="6">
        <v>5.2</v>
      </c>
      <c r="B3" s="9" t="s">
        <v>30</v>
      </c>
      <c r="C3" s="8" t="s">
        <v>33</v>
      </c>
      <c r="D3" s="22" t="s">
        <v>63</v>
      </c>
      <c r="E3" s="22">
        <v>6</v>
      </c>
      <c r="F3" s="29">
        <v>41</v>
      </c>
      <c r="G3" s="8">
        <f>IF(Carpet_Test[[#This Row],[Membership_Type]]="Full", 400,IF(Carpet_Test[[#This Row],[Membership_Type]]= "Country", 200,IF(Carpet_Test[[#This Row],[Membership_Type]] = "Day",275,0)))</f>
        <v>400</v>
      </c>
      <c r="H3" s="8" t="s">
        <v>74</v>
      </c>
      <c r="I3" s="20">
        <f>IF(AND(Carpet_Test[[#This Row],[Membership_Type]]="Full", Carpet_Test[[#This Row],[Age_Range]] = "41-80"), 0.2,IF(AND(Carpet_Test[[#This Row],[Membership_Type]] = "Day", Carpet_Test[[#This Row],[Age_Range]] = "41-80"), 0.15,0))</f>
        <v>0</v>
      </c>
      <c r="J3" s="24">
        <f>Carpet_Test[[#This Row],[Basic_Membership_Cost]]*Carpet_Test[[#This Row],[Age_Discount_Due%]]</f>
        <v>0</v>
      </c>
      <c r="K3" s="24">
        <f>Carpet_Test[[#This Row],[Basic_Membership_Cost]]-Carpet_Test[[#This Row],[Age_Discount_Applied]]</f>
        <v>400</v>
      </c>
      <c r="L3" s="20">
        <f>IF(Carpet_Test[[#This Row],[Family_Member?]]="Yes",0.05,0)</f>
        <v>0</v>
      </c>
      <c r="M3" s="32">
        <f>Carpet_Test[[#This Row],[Family_Discount_Due]]*Carpet_Test[[#This Row],[Yearly_Cost]]</f>
        <v>0</v>
      </c>
      <c r="N3" s="8">
        <f>IF(AND(Carpet_Test[[#This Row],[Membership_Type]]="Country", Carpet_Test[[#This Row],[Member_Visits]]&gt;40),20,0)</f>
        <v>0</v>
      </c>
      <c r="O3" s="31">
        <f>(((Carpet_Test[[#This Row],[Yearly_Cost]]/12)*Carpet_Test[[#This Row],[Monthly_Duration]]))-Carpet_Test[[#This Row],[Family_Discount_Applied]]+Carpet_Test[[#This Row],[Country_Member_ Charge]]</f>
        <v>200</v>
      </c>
      <c r="P3" s="31">
        <f>IF(Carpet_Test[[#This Row],[Payment_Method]] = "Monthly Installments",5,0)</f>
        <v>5</v>
      </c>
      <c r="Q3" s="8">
        <f>IF(Carpet_Test[[#This Row],[Payment_Method]]="Monthly Installments",(Carpet_Test[[#This Row],[Rate_Due]]/Carpet_Test[[#This Row],[Monthly_Duration]])+Carpet_Test[[#This Row],[Registration_Fee]],"")</f>
        <v>38.333333333333336</v>
      </c>
      <c r="R3" s="1"/>
      <c r="S3" s="1"/>
      <c r="T3" s="1"/>
      <c r="U3" s="1"/>
      <c r="V3" s="1"/>
      <c r="W3" s="1"/>
      <c r="X3" s="1"/>
      <c r="Y3" s="1"/>
      <c r="Z3" s="1"/>
      <c r="AA3" s="1"/>
      <c r="AB3" s="1"/>
      <c r="AC3" s="1"/>
      <c r="AD3" s="1"/>
      <c r="AE3" s="1"/>
      <c r="AF3" s="1"/>
    </row>
    <row r="4" spans="1:32" ht="15.75" x14ac:dyDescent="0.25">
      <c r="A4" s="6">
        <v>5.3</v>
      </c>
      <c r="B4" s="9" t="s">
        <v>30</v>
      </c>
      <c r="C4" s="8" t="s">
        <v>33</v>
      </c>
      <c r="D4" s="22" t="s">
        <v>62</v>
      </c>
      <c r="E4" s="22">
        <v>12</v>
      </c>
      <c r="F4" s="29">
        <v>39</v>
      </c>
      <c r="G4" s="8">
        <f>IF(Carpet_Test[[#This Row],[Membership_Type]]="Full", 400,IF(Carpet_Test[[#This Row],[Membership_Type]]= "Country", 200,IF(Carpet_Test[[#This Row],[Membership_Type]] = "Day",275,0)))</f>
        <v>400</v>
      </c>
      <c r="H4" s="8" t="s">
        <v>74</v>
      </c>
      <c r="I4" s="20">
        <f>IF(AND(Carpet_Test[[#This Row],[Membership_Type]]="Full", Carpet_Test[[#This Row],[Age_Range]] = "41-80"), 0.2,IF(AND(Carpet_Test[[#This Row],[Membership_Type]] = "Day", Carpet_Test[[#This Row],[Age_Range]] = "41-80"), 0.15,0))</f>
        <v>0</v>
      </c>
      <c r="J4" s="24">
        <f>Carpet_Test[[#This Row],[Basic_Membership_Cost]]*Carpet_Test[[#This Row],[Age_Discount_Due%]]</f>
        <v>0</v>
      </c>
      <c r="K4" s="24">
        <f>Carpet_Test[[#This Row],[Basic_Membership_Cost]]-Carpet_Test[[#This Row],[Age_Discount_Applied]]</f>
        <v>400</v>
      </c>
      <c r="L4" s="20">
        <f>IF(Carpet_Test[[#This Row],[Family_Member?]]="Yes",0.05,0)</f>
        <v>0.05</v>
      </c>
      <c r="M4" s="32">
        <f>Carpet_Test[[#This Row],[Family_Discount_Due]]*Carpet_Test[[#This Row],[Yearly_Cost]]</f>
        <v>20</v>
      </c>
      <c r="N4" s="8">
        <f>IF(AND(Carpet_Test[[#This Row],[Membership_Type]]="Country", Carpet_Test[[#This Row],[Member_Visits]]&gt;40),20,0)</f>
        <v>0</v>
      </c>
      <c r="O4" s="31">
        <f>(((Carpet_Test[[#This Row],[Yearly_Cost]]/12)*Carpet_Test[[#This Row],[Monthly_Duration]]))-Carpet_Test[[#This Row],[Family_Discount_Applied]]+Carpet_Test[[#This Row],[Country_Member_ Charge]]</f>
        <v>380</v>
      </c>
      <c r="P4" s="31">
        <f>IF(Carpet_Test[[#This Row],[Payment_Method]] = "Monthly Installments",5,0)</f>
        <v>5</v>
      </c>
      <c r="Q4" s="8">
        <f>IF(Carpet_Test[[#This Row],[Payment_Method]]="Monthly Installments",(Carpet_Test[[#This Row],[Rate_Due]]/Carpet_Test[[#This Row],[Monthly_Duration]])+Carpet_Test[[#This Row],[Registration_Fee]],"")</f>
        <v>36.666666666666671</v>
      </c>
      <c r="R4" s="1"/>
      <c r="S4" s="1"/>
      <c r="T4" s="1"/>
      <c r="U4" s="1"/>
      <c r="V4" s="1"/>
      <c r="W4" s="1"/>
      <c r="X4" s="1"/>
      <c r="Y4" s="1"/>
      <c r="Z4" s="1"/>
      <c r="AA4" s="1"/>
      <c r="AB4" s="1"/>
      <c r="AC4" s="1"/>
      <c r="AD4" s="1"/>
      <c r="AE4" s="1"/>
      <c r="AF4" s="1"/>
    </row>
    <row r="5" spans="1:32" ht="15.75" x14ac:dyDescent="0.25">
      <c r="A5" s="7">
        <v>5.4</v>
      </c>
      <c r="B5" s="9" t="s">
        <v>30</v>
      </c>
      <c r="C5" s="8" t="s">
        <v>46</v>
      </c>
      <c r="D5" s="23" t="s">
        <v>63</v>
      </c>
      <c r="E5" s="23">
        <v>9</v>
      </c>
      <c r="F5" s="29">
        <v>45</v>
      </c>
      <c r="G5" s="8">
        <f>IF(Carpet_Test[[#This Row],[Membership_Type]]="Full", 400,IF(Carpet_Test[[#This Row],[Membership_Type]]= "Country", 200,IF(Carpet_Test[[#This Row],[Membership_Type]] = "Day",275,0)))</f>
        <v>400</v>
      </c>
      <c r="H5" s="8" t="s">
        <v>73</v>
      </c>
      <c r="I5" s="20">
        <f>IF(AND(Carpet_Test[[#This Row],[Membership_Type]]="Full", Carpet_Test[[#This Row],[Age_Range]] = "41-80"), 0.2,IF(AND(Carpet_Test[[#This Row],[Membership_Type]] = "Day", Carpet_Test[[#This Row],[Age_Range]] = "41-80"), 0.15,0))</f>
        <v>0.2</v>
      </c>
      <c r="J5" s="24">
        <f>Carpet_Test[[#This Row],[Basic_Membership_Cost]]*Carpet_Test[[#This Row],[Age_Discount_Due%]]</f>
        <v>80</v>
      </c>
      <c r="K5" s="25">
        <f>Carpet_Test[[#This Row],[Basic_Membership_Cost]]-Carpet_Test[[#This Row],[Age_Discount_Applied]]</f>
        <v>320</v>
      </c>
      <c r="L5" s="28">
        <f>IF(Carpet_Test[[#This Row],[Family_Member?]]="Yes",0.05,0)</f>
        <v>0</v>
      </c>
      <c r="M5" s="33">
        <f>Carpet_Test[[#This Row],[Family_Discount_Due]]*Carpet_Test[[#This Row],[Yearly_Cost]]</f>
        <v>0</v>
      </c>
      <c r="N5" s="10">
        <f>IF(AND(Carpet_Test[[#This Row],[Membership_Type]]="Country", Carpet_Test[[#This Row],[Member_Visits]]&gt;40),20,0)</f>
        <v>0</v>
      </c>
      <c r="O5" s="31">
        <f>(((Carpet_Test[[#This Row],[Yearly_Cost]]/12)*Carpet_Test[[#This Row],[Monthly_Duration]]))-Carpet_Test[[#This Row],[Family_Discount_Applied]]+Carpet_Test[[#This Row],[Country_Member_ Charge]]</f>
        <v>240</v>
      </c>
      <c r="P5" s="31">
        <f>IF(Carpet_Test[[#This Row],[Payment_Method]] = "Monthly Installments",5,0)</f>
        <v>0</v>
      </c>
      <c r="Q5" s="8" t="str">
        <f>IF(Carpet_Test[[#This Row],[Payment_Method]]="Monthly Installments",(Carpet_Test[[#This Row],[Rate_Due]]/Carpet_Test[[#This Row],[Monthly_Duration]])+Carpet_Test[[#This Row],[Registration_Fee]],"")</f>
        <v/>
      </c>
      <c r="R5" s="1"/>
      <c r="S5" s="1"/>
      <c r="T5" s="1"/>
      <c r="U5" s="1"/>
      <c r="V5" s="1"/>
      <c r="W5" s="1"/>
      <c r="X5" s="1"/>
      <c r="Y5" s="1"/>
      <c r="Z5" s="1"/>
      <c r="AA5" s="1"/>
      <c r="AB5" s="1"/>
      <c r="AC5" s="1"/>
      <c r="AD5" s="1"/>
      <c r="AE5" s="1"/>
      <c r="AF5" s="1"/>
    </row>
    <row r="6" spans="1:32" ht="15.75" x14ac:dyDescent="0.25">
      <c r="A6" s="7">
        <v>5.5</v>
      </c>
      <c r="B6" s="9" t="s">
        <v>31</v>
      </c>
      <c r="C6" s="8" t="s">
        <v>46</v>
      </c>
      <c r="D6" s="23" t="s">
        <v>63</v>
      </c>
      <c r="E6" s="23">
        <v>12</v>
      </c>
      <c r="F6" s="30">
        <v>41</v>
      </c>
      <c r="G6" s="10">
        <f>IF(Carpet_Test[[#This Row],[Membership_Type]]="Full", 400,IF(Carpet_Test[[#This Row],[Membership_Type]]= "Country", 200,IF(Carpet_Test[[#This Row],[Membership_Type]] = "Day",275,0)))</f>
        <v>275</v>
      </c>
      <c r="H6" s="8" t="s">
        <v>74</v>
      </c>
      <c r="I6" s="20">
        <f>IF(AND(Carpet_Test[[#This Row],[Membership_Type]]="Full", Carpet_Test[[#This Row],[Age_Range]] = "41-80"), 0.2,IF(AND(Carpet_Test[[#This Row],[Membership_Type]] = "Day", Carpet_Test[[#This Row],[Age_Range]] = "41-80"), 0.15,0))</f>
        <v>0.15</v>
      </c>
      <c r="J6" s="24">
        <f>Carpet_Test[[#This Row],[Basic_Membership_Cost]]*Carpet_Test[[#This Row],[Age_Discount_Due%]]</f>
        <v>41.25</v>
      </c>
      <c r="K6" s="25">
        <f>Carpet_Test[[#This Row],[Basic_Membership_Cost]]-Carpet_Test[[#This Row],[Age_Discount_Applied]]</f>
        <v>233.75</v>
      </c>
      <c r="L6" s="28">
        <f>IF(Carpet_Test[[#This Row],[Family_Member?]]="Yes",0.05,0)</f>
        <v>0</v>
      </c>
      <c r="M6" s="33">
        <f>Carpet_Test[[#This Row],[Family_Discount_Due]]*Carpet_Test[[#This Row],[Yearly_Cost]]</f>
        <v>0</v>
      </c>
      <c r="N6" s="10">
        <f>IF(AND(Carpet_Test[[#This Row],[Membership_Type]]="Country", Carpet_Test[[#This Row],[Member_Visits]]&gt;40),20,0)</f>
        <v>0</v>
      </c>
      <c r="O6" s="31">
        <f>(((Carpet_Test[[#This Row],[Yearly_Cost]]/12)*Carpet_Test[[#This Row],[Monthly_Duration]]))-Carpet_Test[[#This Row],[Family_Discount_Applied]]+Carpet_Test[[#This Row],[Country_Member_ Charge]]</f>
        <v>233.75</v>
      </c>
      <c r="P6" s="31">
        <f>IF(Carpet_Test[[#This Row],[Payment_Method]] = "Monthly Installments",5,0)</f>
        <v>5</v>
      </c>
      <c r="Q6" s="8">
        <f>IF(Carpet_Test[[#This Row],[Payment_Method]]="Monthly Installments",(Carpet_Test[[#This Row],[Rate_Due]]/Carpet_Test[[#This Row],[Monthly_Duration]])+Carpet_Test[[#This Row],[Registration_Fee]],"")</f>
        <v>24.479166666666668</v>
      </c>
      <c r="R6" s="1"/>
      <c r="S6" s="1"/>
      <c r="T6" s="1"/>
      <c r="U6" s="1"/>
      <c r="V6" s="1"/>
      <c r="W6" s="1"/>
      <c r="X6" s="1"/>
      <c r="Y6" s="1"/>
      <c r="Z6" s="1"/>
      <c r="AA6" s="1"/>
      <c r="AB6" s="1"/>
      <c r="AC6" s="1"/>
      <c r="AD6" s="1"/>
      <c r="AE6" s="1"/>
      <c r="AF6" s="1"/>
    </row>
    <row r="7" spans="1:32" ht="15.75" x14ac:dyDescent="0.25">
      <c r="A7" s="7"/>
      <c r="B7" s="10"/>
      <c r="C7" s="10"/>
      <c r="D7" s="23"/>
      <c r="E7" s="23"/>
      <c r="F7" s="30"/>
      <c r="G7" s="10">
        <f>IF(Carpet_Test[[#This Row],[Membership_Type]]="Full", 400,IF(Carpet_Test[[#This Row],[Membership_Type]]= "Country", 200,IF(Carpet_Test[[#This Row],[Membership_Type]] = "Day",275,0)))</f>
        <v>0</v>
      </c>
      <c r="H7" s="10"/>
      <c r="I7" s="20">
        <f>IF(AND(Carpet_Test[[#This Row],[Membership_Type]]="Full", Carpet_Test[[#This Row],[Age_Range]] = "41-80"), 0.2,IF(AND(Carpet_Test[[#This Row],[Membership_Type]] = "Day", Carpet_Test[[#This Row],[Age_Range]] = "41-80"), 0.15,0))</f>
        <v>0</v>
      </c>
      <c r="J7" s="24">
        <f>Carpet_Test[[#This Row],[Basic_Membership_Cost]]*Carpet_Test[[#This Row],[Age_Discount_Due%]]</f>
        <v>0</v>
      </c>
      <c r="K7" s="25">
        <f>Carpet_Test[[#This Row],[Basic_Membership_Cost]]-Carpet_Test[[#This Row],[Age_Discount_Applied]]</f>
        <v>0</v>
      </c>
      <c r="L7" s="28">
        <f>IF(Carpet_Test[[#This Row],[Family_Member?]]="Yes",0.05,0)</f>
        <v>0</v>
      </c>
      <c r="M7" s="33">
        <f>Carpet_Test[[#This Row],[Family_Discount_Due]]*Carpet_Test[[#This Row],[Yearly_Cost]]</f>
        <v>0</v>
      </c>
      <c r="N7" s="10">
        <f>IF(AND(Carpet_Test[[#This Row],[Membership_Type]]="Country", Carpet_Test[[#This Row],[Member_Visits]]&gt;40),20,0)</f>
        <v>0</v>
      </c>
      <c r="O7" s="31">
        <f>(((Carpet_Test[[#This Row],[Yearly_Cost]]/12)*Carpet_Test[[#This Row],[Monthly_Duration]]))-Carpet_Test[[#This Row],[Family_Discount_Applied]]+Carpet_Test[[#This Row],[Country_Member_ Charge]]</f>
        <v>0</v>
      </c>
      <c r="P7" s="31">
        <f>IF(Carpet_Test[[#This Row],[Payment_Method]] = "Monthly Installments",5,0)</f>
        <v>0</v>
      </c>
      <c r="Q7" s="8" t="str">
        <f>IF(Carpet_Test[[#This Row],[Payment_Method]]="Monthly Installments",(Carpet_Test[[#This Row],[Rate_Due]]/Carpet_Test[[#This Row],[Monthly_Duration]])+Carpet_Test[[#This Row],[Registration_Fee]],"")</f>
        <v/>
      </c>
      <c r="R7" s="1"/>
      <c r="S7" s="1"/>
      <c r="T7" s="1"/>
      <c r="U7" s="1"/>
      <c r="V7" s="1"/>
      <c r="W7" s="1"/>
      <c r="X7" s="1"/>
      <c r="Y7" s="1"/>
      <c r="Z7" s="1"/>
      <c r="AA7" s="1"/>
      <c r="AB7" s="1"/>
      <c r="AC7" s="1"/>
      <c r="AD7" s="1"/>
      <c r="AE7" s="1"/>
      <c r="AF7" s="1"/>
    </row>
    <row r="8" spans="1:32" ht="15.75" x14ac:dyDescent="0.25">
      <c r="A8" s="7"/>
      <c r="B8" s="10"/>
      <c r="C8" s="10"/>
      <c r="D8" s="23"/>
      <c r="E8" s="23"/>
      <c r="F8" s="30"/>
      <c r="G8" s="10">
        <f>IF(Carpet_Test[[#This Row],[Membership_Type]]="Full", 400,IF(Carpet_Test[[#This Row],[Membership_Type]]= "Country", 200,IF(Carpet_Test[[#This Row],[Membership_Type]] = "Day",275,0)))</f>
        <v>0</v>
      </c>
      <c r="H8" s="10"/>
      <c r="I8" s="20">
        <f>IF(AND(Carpet_Test[[#This Row],[Membership_Type]]="Full", Carpet_Test[[#This Row],[Age_Range]] = "41-80"), 0.2,IF(AND(Carpet_Test[[#This Row],[Membership_Type]] = "Day", Carpet_Test[[#This Row],[Age_Range]] = "41-80"), 0.15,0))</f>
        <v>0</v>
      </c>
      <c r="J8" s="24">
        <f>Carpet_Test[[#This Row],[Basic_Membership_Cost]]*Carpet_Test[[#This Row],[Age_Discount_Due%]]</f>
        <v>0</v>
      </c>
      <c r="K8" s="25">
        <f>Carpet_Test[[#This Row],[Basic_Membership_Cost]]-Carpet_Test[[#This Row],[Age_Discount_Applied]]</f>
        <v>0</v>
      </c>
      <c r="L8" s="28">
        <f>IF(Carpet_Test[[#This Row],[Family_Member?]]="Yes",0.05,0)</f>
        <v>0</v>
      </c>
      <c r="M8" s="33">
        <f>Carpet_Test[[#This Row],[Family_Discount_Due]]*Carpet_Test[[#This Row],[Yearly_Cost]]</f>
        <v>0</v>
      </c>
      <c r="N8" s="10">
        <f>IF(AND(Carpet_Test[[#This Row],[Membership_Type]]="Country", Carpet_Test[[#This Row],[Member_Visits]]&gt;40),20,0)</f>
        <v>0</v>
      </c>
      <c r="O8" s="31">
        <f>(((Carpet_Test[[#This Row],[Yearly_Cost]]/12)*Carpet_Test[[#This Row],[Monthly_Duration]]))-Carpet_Test[[#This Row],[Family_Discount_Applied]]+Carpet_Test[[#This Row],[Country_Member_ Charge]]</f>
        <v>0</v>
      </c>
      <c r="P8" s="31">
        <f>IF(Carpet_Test[[#This Row],[Payment_Method]] = "Monthly Installments",5,0)</f>
        <v>0</v>
      </c>
      <c r="Q8" s="8" t="str">
        <f>IF(Carpet_Test[[#This Row],[Payment_Method]]="Monthly Installments",(Carpet_Test[[#This Row],[Rate_Due]]/Carpet_Test[[#This Row],[Monthly_Duration]])+Carpet_Test[[#This Row],[Registration_Fee]],"")</f>
        <v/>
      </c>
      <c r="R8" s="1"/>
      <c r="S8" s="1"/>
      <c r="T8" s="1"/>
      <c r="U8" s="1"/>
      <c r="V8" s="1"/>
      <c r="W8" s="1"/>
      <c r="X8" s="1"/>
      <c r="Y8" s="1"/>
      <c r="Z8" s="1"/>
      <c r="AA8" s="1"/>
      <c r="AB8" s="1"/>
      <c r="AC8" s="1"/>
      <c r="AD8" s="1"/>
      <c r="AE8" s="1"/>
      <c r="AF8" s="1"/>
    </row>
    <row r="9" spans="1:32" ht="15.75" x14ac:dyDescent="0.25">
      <c r="A9" s="7"/>
      <c r="B9" s="10"/>
      <c r="C9" s="10"/>
      <c r="D9" s="23"/>
      <c r="E9" s="23"/>
      <c r="F9" s="30"/>
      <c r="G9" s="10">
        <f>IF(Carpet_Test[[#This Row],[Membership_Type]]="Full", 400,IF(Carpet_Test[[#This Row],[Membership_Type]]= "Country", 200,IF(Carpet_Test[[#This Row],[Membership_Type]] = "Day",275,0)))</f>
        <v>0</v>
      </c>
      <c r="H9" s="10"/>
      <c r="I9" s="20">
        <f>IF(AND(Carpet_Test[[#This Row],[Membership_Type]]="Full", Carpet_Test[[#This Row],[Age_Range]] = "41-80"), 0.2,IF(AND(Carpet_Test[[#This Row],[Membership_Type]] = "Day", Carpet_Test[[#This Row],[Age_Range]] = "41-80"), 0.15,0))</f>
        <v>0</v>
      </c>
      <c r="J9" s="24">
        <f>Carpet_Test[[#This Row],[Basic_Membership_Cost]]*Carpet_Test[[#This Row],[Age_Discount_Due%]]</f>
        <v>0</v>
      </c>
      <c r="K9" s="25">
        <f>Carpet_Test[[#This Row],[Basic_Membership_Cost]]-Carpet_Test[[#This Row],[Age_Discount_Applied]]</f>
        <v>0</v>
      </c>
      <c r="L9" s="28">
        <f>IF(Carpet_Test[[#This Row],[Family_Member?]]="Yes",0.05,0)</f>
        <v>0</v>
      </c>
      <c r="M9" s="33">
        <f>Carpet_Test[[#This Row],[Family_Discount_Due]]*Carpet_Test[[#This Row],[Yearly_Cost]]</f>
        <v>0</v>
      </c>
      <c r="N9" s="10">
        <f>IF(AND(Carpet_Test[[#This Row],[Membership_Type]]="Country", Carpet_Test[[#This Row],[Member_Visits]]&gt;40),20,0)</f>
        <v>0</v>
      </c>
      <c r="O9" s="31">
        <f>(((Carpet_Test[[#This Row],[Yearly_Cost]]/12)*Carpet_Test[[#This Row],[Monthly_Duration]]))-Carpet_Test[[#This Row],[Family_Discount_Applied]]+Carpet_Test[[#This Row],[Country_Member_ Charge]]</f>
        <v>0</v>
      </c>
      <c r="P9" s="31">
        <f>IF(Carpet_Test[[#This Row],[Payment_Method]] = "Monthly Installments",5,0)</f>
        <v>0</v>
      </c>
      <c r="Q9" s="8" t="str">
        <f>IF(Carpet_Test[[#This Row],[Payment_Method]]="Monthly Installments",(Carpet_Test[[#This Row],[Rate_Due]]/Carpet_Test[[#This Row],[Monthly_Duration]])+Carpet_Test[[#This Row],[Registration_Fee]],"")</f>
        <v/>
      </c>
      <c r="R9" s="1"/>
      <c r="S9" s="1"/>
      <c r="T9" s="1"/>
      <c r="U9" s="1"/>
      <c r="V9" s="1"/>
      <c r="W9" s="1"/>
      <c r="X9" s="1"/>
      <c r="Y9" s="1"/>
      <c r="Z9" s="1"/>
      <c r="AA9" s="1"/>
      <c r="AB9" s="1"/>
      <c r="AC9" s="1"/>
      <c r="AD9" s="1"/>
      <c r="AE9" s="1"/>
      <c r="AF9" s="1"/>
    </row>
    <row r="10" spans="1:32" ht="15.75" x14ac:dyDescent="0.25">
      <c r="A10" s="7"/>
      <c r="B10" s="10"/>
      <c r="C10" s="10"/>
      <c r="D10" s="23"/>
      <c r="E10" s="23"/>
      <c r="F10" s="30"/>
      <c r="G10" s="10">
        <f>IF(Carpet_Test[[#This Row],[Membership_Type]]="Full", 400,IF(Carpet_Test[[#This Row],[Membership_Type]]= "Country", 200,IF(Carpet_Test[[#This Row],[Membership_Type]] = "Day",275,0)))</f>
        <v>0</v>
      </c>
      <c r="H10" s="10"/>
      <c r="I10" s="20">
        <f>IF(AND(Carpet_Test[[#This Row],[Membership_Type]]="Full", Carpet_Test[[#This Row],[Age_Range]] = "41-80"), 0.2,IF(AND(Carpet_Test[[#This Row],[Membership_Type]] = "Day", Carpet_Test[[#This Row],[Age_Range]] = "41-80"), 0.15,0))</f>
        <v>0</v>
      </c>
      <c r="J10" s="24">
        <f>Carpet_Test[[#This Row],[Basic_Membership_Cost]]*Carpet_Test[[#This Row],[Age_Discount_Due%]]</f>
        <v>0</v>
      </c>
      <c r="K10" s="25">
        <f>Carpet_Test[[#This Row],[Basic_Membership_Cost]]-Carpet_Test[[#This Row],[Age_Discount_Applied]]</f>
        <v>0</v>
      </c>
      <c r="L10" s="28">
        <f>IF(Carpet_Test[[#This Row],[Family_Member?]]="Yes",0.05,0)</f>
        <v>0</v>
      </c>
      <c r="M10" s="33">
        <f>Carpet_Test[[#This Row],[Family_Discount_Due]]*Carpet_Test[[#This Row],[Yearly_Cost]]</f>
        <v>0</v>
      </c>
      <c r="N10" s="10">
        <f>IF(AND(Carpet_Test[[#This Row],[Membership_Type]]="Country", Carpet_Test[[#This Row],[Member_Visits]]&gt;40),20,0)</f>
        <v>0</v>
      </c>
      <c r="O10" s="31">
        <f>(((Carpet_Test[[#This Row],[Yearly_Cost]]/12)*Carpet_Test[[#This Row],[Monthly_Duration]]))-Carpet_Test[[#This Row],[Family_Discount_Applied]]+Carpet_Test[[#This Row],[Country_Member_ Charge]]</f>
        <v>0</v>
      </c>
      <c r="P10" s="31">
        <f>IF(Carpet_Test[[#This Row],[Payment_Method]] = "Monthly Installments",5,0)</f>
        <v>0</v>
      </c>
      <c r="Q10" s="8" t="str">
        <f>IF(Carpet_Test[[#This Row],[Payment_Method]]="Monthly Installments",(Carpet_Test[[#This Row],[Rate_Due]]/Carpet_Test[[#This Row],[Monthly_Duration]])+Carpet_Test[[#This Row],[Registration_Fee]],"")</f>
        <v/>
      </c>
      <c r="R10" s="1"/>
      <c r="S10" s="1"/>
      <c r="T10" s="1"/>
      <c r="U10" s="1"/>
      <c r="V10" s="1"/>
      <c r="W10" s="1"/>
      <c r="X10" s="1"/>
      <c r="Y10" s="1"/>
      <c r="Z10" s="1"/>
      <c r="AA10" s="1"/>
      <c r="AB10" s="1"/>
      <c r="AC10" s="1"/>
      <c r="AD10" s="1"/>
      <c r="AE10" s="1"/>
      <c r="AF10" s="1"/>
    </row>
    <row r="11" spans="1:32" ht="15.75" x14ac:dyDescent="0.25">
      <c r="A11" s="7"/>
      <c r="B11" s="10"/>
      <c r="C11" s="10"/>
      <c r="D11" s="23"/>
      <c r="E11" s="23"/>
      <c r="F11" s="30"/>
      <c r="G11" s="10">
        <f>IF(Carpet_Test[[#This Row],[Membership_Type]]="Full", 400,IF(Carpet_Test[[#This Row],[Membership_Type]]= "Country", 200,IF(Carpet_Test[[#This Row],[Membership_Type]] = "Day",275,0)))</f>
        <v>0</v>
      </c>
      <c r="H11" s="10"/>
      <c r="I11" s="28">
        <f>IF(AND(Carpet_Test[[#This Row],[Membership_Type]]="Full", Carpet_Test[[#This Row],[Age_Range]] = "41-80"), 0.2,IF(AND(Carpet_Test[[#This Row],[Membership_Type]] = "Day", Carpet_Test[[#This Row],[Age_Range]] = "41-80"), 0.15,0))</f>
        <v>0</v>
      </c>
      <c r="J11" s="25">
        <f>Carpet_Test[[#This Row],[Basic_Membership_Cost]]*Carpet_Test[[#This Row],[Age_Discount_Due%]]</f>
        <v>0</v>
      </c>
      <c r="K11" s="25">
        <f>Carpet_Test[[#This Row],[Basic_Membership_Cost]]-Carpet_Test[[#This Row],[Age_Discount_Applied]]</f>
        <v>0</v>
      </c>
      <c r="L11" s="28">
        <f>IF(Carpet_Test[[#This Row],[Family_Member?]]="Yes",0.05,0)</f>
        <v>0</v>
      </c>
      <c r="M11" s="33">
        <f>Carpet_Test[[#This Row],[Family_Discount_Due]]*Carpet_Test[[#This Row],[Yearly_Cost]]</f>
        <v>0</v>
      </c>
      <c r="N11" s="10">
        <f>IF(AND(Carpet_Test[[#This Row],[Membership_Type]]="Country", Carpet_Test[[#This Row],[Member_Visits]]&gt;40),20,0)</f>
        <v>0</v>
      </c>
      <c r="O11" s="31">
        <f>(((Carpet_Test[[#This Row],[Yearly_Cost]]/12)*Carpet_Test[[#This Row],[Monthly_Duration]]))-Carpet_Test[[#This Row],[Family_Discount_Applied]]+Carpet_Test[[#This Row],[Country_Member_ Charge]]</f>
        <v>0</v>
      </c>
      <c r="P11" s="31">
        <f>IF(Carpet_Test[[#This Row],[Payment_Method]] = "Monthly Installments",5,0)</f>
        <v>0</v>
      </c>
      <c r="Q11" s="8" t="str">
        <f>IF(Carpet_Test[[#This Row],[Payment_Method]]="Monthly Installments",(Carpet_Test[[#This Row],[Rate_Due]]/Carpet_Test[[#This Row],[Monthly_Duration]])+Carpet_Test[[#This Row],[Registration_Fee]],"")</f>
        <v/>
      </c>
      <c r="R11" s="1"/>
      <c r="S11" s="1"/>
      <c r="T11" s="1"/>
      <c r="U11" s="1"/>
      <c r="V11" s="1"/>
      <c r="W11" s="1"/>
      <c r="X11" s="1"/>
      <c r="Y11" s="1"/>
      <c r="Z11" s="1"/>
      <c r="AA11" s="1"/>
    </row>
    <row r="12" spans="1:32" ht="15.75" x14ac:dyDescent="0.25">
      <c r="A12" s="7"/>
      <c r="B12" s="10"/>
      <c r="C12" s="10"/>
      <c r="D12" s="23"/>
      <c r="E12" s="23"/>
      <c r="F12" s="30"/>
      <c r="G12" s="10">
        <f>IF(Carpet_Test[[#This Row],[Membership_Type]]="Full", 400,IF(Carpet_Test[[#This Row],[Membership_Type]]= "Country", 200,IF(Carpet_Test[[#This Row],[Membership_Type]] = "Day",275,0)))</f>
        <v>0</v>
      </c>
      <c r="H12" s="10"/>
      <c r="I12" s="28">
        <f>IF(AND(Carpet_Test[[#This Row],[Membership_Type]]="Full", Carpet_Test[[#This Row],[Age_Range]] = "41-80"), 0.2,IF(AND(Carpet_Test[[#This Row],[Membership_Type]] = "Day", Carpet_Test[[#This Row],[Age_Range]] = "41-80"), 0.15,0))</f>
        <v>0</v>
      </c>
      <c r="J12" s="25">
        <f>Carpet_Test[[#This Row],[Basic_Membership_Cost]]*Carpet_Test[[#This Row],[Age_Discount_Due%]]</f>
        <v>0</v>
      </c>
      <c r="K12" s="25">
        <f>Carpet_Test[[#This Row],[Basic_Membership_Cost]]-Carpet_Test[[#This Row],[Age_Discount_Applied]]</f>
        <v>0</v>
      </c>
      <c r="L12" s="28">
        <f>IF(Carpet_Test[[#This Row],[Family_Member?]]="Yes",0.05,0)</f>
        <v>0</v>
      </c>
      <c r="M12" s="33">
        <f>Carpet_Test[[#This Row],[Family_Discount_Due]]*Carpet_Test[[#This Row],[Yearly_Cost]]</f>
        <v>0</v>
      </c>
      <c r="N12" s="10">
        <f>IF(AND(Carpet_Test[[#This Row],[Membership_Type]]="Country", Carpet_Test[[#This Row],[Member_Visits]]&gt;40),20,0)</f>
        <v>0</v>
      </c>
      <c r="O12" s="31">
        <f>(((Carpet_Test[[#This Row],[Yearly_Cost]]/12)*Carpet_Test[[#This Row],[Monthly_Duration]]))-Carpet_Test[[#This Row],[Family_Discount_Applied]]+Carpet_Test[[#This Row],[Country_Member_ Charge]]</f>
        <v>0</v>
      </c>
      <c r="P12" s="31">
        <f>IF(Carpet_Test[[#This Row],[Payment_Method]] = "Monthly Installments",5,0)</f>
        <v>0</v>
      </c>
      <c r="Q12" s="8" t="str">
        <f>IF(Carpet_Test[[#This Row],[Payment_Method]]="Monthly Installments",(Carpet_Test[[#This Row],[Rate_Due]]/Carpet_Test[[#This Row],[Monthly_Duration]])+Carpet_Test[[#This Row],[Registration_Fee]],"")</f>
        <v/>
      </c>
      <c r="R12" s="1"/>
      <c r="S12" s="1"/>
      <c r="T12" s="1"/>
      <c r="U12" s="1"/>
      <c r="V12" s="1"/>
      <c r="W12" s="1"/>
      <c r="X12" s="1"/>
      <c r="Y12" s="1"/>
      <c r="Z12" s="1"/>
      <c r="AA12" s="1"/>
    </row>
    <row r="13" spans="1:32" ht="15.75" x14ac:dyDescent="0.25">
      <c r="A13" s="7"/>
      <c r="B13" s="10"/>
      <c r="C13" s="10"/>
      <c r="D13" s="23"/>
      <c r="E13" s="23"/>
      <c r="F13" s="30"/>
      <c r="G13" s="10">
        <f>IF(Carpet_Test[[#This Row],[Membership_Type]]="Full", 400,IF(Carpet_Test[[#This Row],[Membership_Type]]= "Country", 200,IF(Carpet_Test[[#This Row],[Membership_Type]] = "Day",275,0)))</f>
        <v>0</v>
      </c>
      <c r="H13" s="10"/>
      <c r="I13" s="28">
        <f>IF(AND(Carpet_Test[[#This Row],[Membership_Type]]="Full", Carpet_Test[[#This Row],[Age_Range]] = "41-80"), 0.2,IF(AND(Carpet_Test[[#This Row],[Membership_Type]] = "Day", Carpet_Test[[#This Row],[Age_Range]] = "41-80"), 0.15,0))</f>
        <v>0</v>
      </c>
      <c r="J13" s="25">
        <f>Carpet_Test[[#This Row],[Basic_Membership_Cost]]*Carpet_Test[[#This Row],[Age_Discount_Due%]]</f>
        <v>0</v>
      </c>
      <c r="K13" s="25">
        <f>Carpet_Test[[#This Row],[Basic_Membership_Cost]]-Carpet_Test[[#This Row],[Age_Discount_Applied]]</f>
        <v>0</v>
      </c>
      <c r="L13" s="28">
        <f>IF(Carpet_Test[[#This Row],[Family_Member?]]="Yes",0.05,0)</f>
        <v>0</v>
      </c>
      <c r="M13" s="33">
        <f>Carpet_Test[[#This Row],[Family_Discount_Due]]*Carpet_Test[[#This Row],[Yearly_Cost]]</f>
        <v>0</v>
      </c>
      <c r="N13" s="10">
        <f>IF(AND(Carpet_Test[[#This Row],[Membership_Type]]="Country", Carpet_Test[[#This Row],[Member_Visits]]&gt;40),20,0)</f>
        <v>0</v>
      </c>
      <c r="O13" s="31">
        <f>(((Carpet_Test[[#This Row],[Yearly_Cost]]/12)*Carpet_Test[[#This Row],[Monthly_Duration]]))-Carpet_Test[[#This Row],[Family_Discount_Applied]]+Carpet_Test[[#This Row],[Country_Member_ Charge]]</f>
        <v>0</v>
      </c>
      <c r="P13" s="31">
        <f>IF(Carpet_Test[[#This Row],[Payment_Method]] = "Monthly Installments",5,0)</f>
        <v>0</v>
      </c>
      <c r="Q13" s="8" t="str">
        <f>IF(Carpet_Test[[#This Row],[Payment_Method]]="Monthly Installments",(Carpet_Test[[#This Row],[Rate_Due]]/Carpet_Test[[#This Row],[Monthly_Duration]])+Carpet_Test[[#This Row],[Registration_Fee]],"")</f>
        <v/>
      </c>
      <c r="R13" s="1"/>
      <c r="S13" s="1"/>
      <c r="T13" s="1"/>
      <c r="U13" s="1"/>
      <c r="V13" s="1"/>
      <c r="W13" s="1"/>
      <c r="X13" s="1"/>
      <c r="Y13" s="1"/>
      <c r="Z13" s="1"/>
      <c r="AA13" s="1"/>
    </row>
    <row r="14" spans="1:32" ht="15.75" x14ac:dyDescent="0.25">
      <c r="A14" s="7"/>
      <c r="B14" s="10"/>
      <c r="C14" s="10"/>
      <c r="D14" s="23"/>
      <c r="E14" s="23"/>
      <c r="F14" s="30"/>
      <c r="G14" s="10">
        <f>IF(Carpet_Test[[#This Row],[Membership_Type]]="Full", 400,IF(Carpet_Test[[#This Row],[Membership_Type]]= "Country", 200,IF(Carpet_Test[[#This Row],[Membership_Type]] = "Day",275,0)))</f>
        <v>0</v>
      </c>
      <c r="H14" s="10"/>
      <c r="I14" s="28">
        <f>IF(AND(Carpet_Test[[#This Row],[Membership_Type]]="Full", Carpet_Test[[#This Row],[Age_Range]] = "41-80"), 0.2,IF(AND(Carpet_Test[[#This Row],[Membership_Type]] = "Day", Carpet_Test[[#This Row],[Age_Range]] = "41-80"), 0.15,0))</f>
        <v>0</v>
      </c>
      <c r="J14" s="25">
        <f>Carpet_Test[[#This Row],[Basic_Membership_Cost]]*Carpet_Test[[#This Row],[Age_Discount_Due%]]</f>
        <v>0</v>
      </c>
      <c r="K14" s="25">
        <f>Carpet_Test[[#This Row],[Basic_Membership_Cost]]-Carpet_Test[[#This Row],[Age_Discount_Applied]]</f>
        <v>0</v>
      </c>
      <c r="L14" s="28">
        <f>IF(Carpet_Test[[#This Row],[Family_Member?]]="Yes",0.05,0)</f>
        <v>0</v>
      </c>
      <c r="M14" s="33">
        <f>Carpet_Test[[#This Row],[Family_Discount_Due]]*Carpet_Test[[#This Row],[Yearly_Cost]]</f>
        <v>0</v>
      </c>
      <c r="N14" s="10">
        <f>IF(AND(Carpet_Test[[#This Row],[Membership_Type]]="Country", Carpet_Test[[#This Row],[Member_Visits]]&gt;40),20,0)</f>
        <v>0</v>
      </c>
      <c r="O14" s="31">
        <f>(((Carpet_Test[[#This Row],[Yearly_Cost]]/12)*Carpet_Test[[#This Row],[Monthly_Duration]]))-Carpet_Test[[#This Row],[Family_Discount_Applied]]+Carpet_Test[[#This Row],[Country_Member_ Charge]]</f>
        <v>0</v>
      </c>
      <c r="P14" s="31">
        <f>IF(Carpet_Test[[#This Row],[Payment_Method]] = "Monthly Installments",5,0)</f>
        <v>0</v>
      </c>
      <c r="Q14" s="10" t="str">
        <f>IF(Carpet_Test[[#This Row],[Payment_Method]]="Monthly Installments",(Carpet_Test[[#This Row],[Rate_Due]]/Carpet_Test[[#This Row],[Monthly_Duration]])+Carpet_Test[[#This Row],[Registration_Fee]],"")</f>
        <v/>
      </c>
      <c r="R14" s="1"/>
      <c r="S14" s="1"/>
      <c r="T14" s="1"/>
      <c r="U14" s="1"/>
      <c r="V14" s="1"/>
      <c r="W14" s="1"/>
      <c r="X14" s="1"/>
      <c r="Y14" s="1"/>
      <c r="Z14" s="1"/>
      <c r="AA14" s="1"/>
    </row>
    <row r="15" spans="1:32" x14ac:dyDescent="0.25">
      <c r="A15" s="1"/>
      <c r="B15" s="1"/>
      <c r="C15" s="1"/>
      <c r="D15" s="1"/>
      <c r="E15" s="1"/>
      <c r="F15" s="1"/>
      <c r="G15" s="1"/>
      <c r="H15" s="1"/>
      <c r="I15" s="1"/>
      <c r="J15" s="1"/>
      <c r="K15" s="1"/>
      <c r="L15" s="1"/>
      <c r="M15" s="1"/>
      <c r="N15" s="1"/>
      <c r="O15" s="1"/>
      <c r="P15" s="1"/>
      <c r="Q15" s="1"/>
      <c r="R15" s="1"/>
      <c r="S15" s="1"/>
      <c r="T15" s="1"/>
      <c r="U15" s="1"/>
      <c r="V15" s="1"/>
      <c r="W15" s="1"/>
      <c r="X15" s="1"/>
      <c r="Y15" s="1"/>
      <c r="Z15" s="1"/>
    </row>
    <row r="16" spans="1:32" x14ac:dyDescent="0.25">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x14ac:dyDescent="0.2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15.75" x14ac:dyDescent="0.25">
      <c r="A18" s="1"/>
      <c r="B18" s="36" t="s">
        <v>77</v>
      </c>
      <c r="C18" s="1"/>
      <c r="D18" s="1"/>
      <c r="E18" s="1"/>
      <c r="F18" s="1"/>
      <c r="G18" s="1"/>
      <c r="H18" s="1"/>
      <c r="I18" s="1"/>
      <c r="J18" s="1"/>
      <c r="K18" s="1"/>
      <c r="L18" s="1"/>
      <c r="M18" s="1"/>
      <c r="N18" s="1"/>
      <c r="O18" s="1"/>
      <c r="P18" s="1"/>
      <c r="Q18" s="1"/>
      <c r="R18" s="1"/>
      <c r="S18" s="1"/>
      <c r="T18" s="1"/>
      <c r="U18" s="1"/>
      <c r="V18" s="1"/>
      <c r="W18" s="1"/>
      <c r="X18" s="1"/>
      <c r="Y18" s="1"/>
      <c r="Z18" s="1"/>
    </row>
    <row r="19" spans="1:26" ht="19.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x14ac:dyDescent="0.25">
      <c r="A22" s="19"/>
      <c r="B22" s="1"/>
      <c r="C22" s="1"/>
      <c r="D22" s="1"/>
      <c r="E22" s="1"/>
      <c r="F22" s="1"/>
      <c r="G22" s="1"/>
      <c r="H22" s="1"/>
      <c r="I22" s="1"/>
      <c r="J22" s="1"/>
      <c r="K22" s="1"/>
      <c r="L22" s="1"/>
      <c r="M22" s="1"/>
      <c r="N22" s="1"/>
      <c r="O22" s="1"/>
      <c r="P22" s="1"/>
      <c r="Q22" s="1"/>
      <c r="R22" s="1"/>
      <c r="S22" s="1"/>
      <c r="T22" s="1"/>
      <c r="U22" s="1"/>
      <c r="V22" s="1"/>
      <c r="W22" s="1"/>
      <c r="X22" s="1"/>
      <c r="Y22" s="1"/>
      <c r="Z22" s="1"/>
    </row>
    <row r="23" spans="1:2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x14ac:dyDescent="0.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31" ht="48.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row>
    <row r="34" spans="1:3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row>
    <row r="35" spans="1:3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row>
    <row r="36" spans="1:3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row>
    <row r="37" spans="1:3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row>
    <row r="38" spans="1:3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3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3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3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3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3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3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3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3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3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45"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45"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45"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45"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45"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45"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45"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45"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45"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45"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45"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45"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45"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45"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row>
    <row r="79" spans="1:45"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row>
    <row r="80" spans="1:45"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row>
    <row r="81" spans="1:45"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row>
    <row r="82" spans="1:45"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row>
    <row r="83" spans="1:45"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row>
    <row r="84" spans="1:45"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row>
    <row r="85" spans="1:45"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row>
    <row r="86" spans="1:45"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row>
    <row r="87" spans="1:45"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row>
    <row r="88" spans="1:45"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row>
    <row r="89" spans="1:45"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row>
    <row r="90" spans="1:45"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row>
    <row r="91" spans="1:45"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row>
    <row r="92" spans="1:45"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row>
    <row r="93" spans="1:45"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row>
    <row r="94" spans="1:45"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row>
    <row r="95" spans="1:45"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row>
    <row r="96" spans="1:45"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row>
    <row r="97" spans="1:45"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row>
    <row r="98" spans="1:45"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row>
    <row r="99" spans="1:45"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row>
    <row r="100" spans="1:45"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row>
    <row r="101" spans="1:45"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row>
    <row r="102" spans="1:45"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row>
    <row r="103" spans="1:45"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row>
    <row r="104" spans="1:45"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row>
    <row r="105" spans="1:45"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row>
    <row r="106" spans="1:45"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row>
    <row r="107" spans="1:45"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row>
    <row r="108" spans="1:45"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row>
    <row r="109" spans="1:45"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row>
    <row r="110" spans="1:45"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row>
    <row r="111" spans="1:45"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row>
    <row r="112" spans="1:45"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row>
    <row r="113" spans="1:45"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row>
    <row r="114" spans="1:45"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row>
    <row r="115" spans="1:45"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row>
    <row r="116" spans="1:45"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row>
    <row r="117" spans="1:45"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row>
    <row r="118" spans="1:45"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row>
    <row r="119" spans="1:45"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row>
    <row r="120" spans="1:45"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row>
    <row r="121" spans="1:45"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row>
    <row r="122" spans="1:45"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row>
    <row r="123" spans="1:45"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row>
    <row r="124" spans="1:45"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row>
    <row r="125" spans="1:45"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row>
    <row r="126" spans="1:45"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row>
    <row r="127" spans="1:45"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row>
    <row r="128" spans="1:45"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row>
    <row r="129" spans="1:45"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row>
    <row r="130" spans="1:45"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row>
    <row r="131" spans="1:45"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row>
    <row r="132" spans="1:45"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row>
    <row r="133" spans="1:45"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row>
    <row r="134" spans="1:45"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row>
    <row r="135" spans="1:45"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row>
    <row r="136" spans="1:45"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row>
    <row r="137" spans="1:45"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row>
    <row r="138" spans="1:45"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row>
    <row r="139" spans="1:45"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row>
    <row r="140" spans="1:45"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row>
    <row r="141" spans="1:45"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row>
    <row r="142" spans="1:45"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row>
    <row r="143" spans="1:45"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row>
    <row r="144" spans="1:45"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row>
    <row r="145" spans="1:45"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row>
    <row r="146" spans="1:45"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row>
    <row r="147" spans="1:45"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row>
    <row r="148" spans="1:45"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row>
    <row r="149" spans="1:45"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row>
    <row r="150" spans="1:45"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row>
    <row r="151" spans="1:45"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row>
    <row r="152" spans="1:45"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row>
    <row r="153" spans="1:45"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row>
    <row r="154" spans="1:45"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row>
    <row r="155" spans="1:45"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row>
    <row r="156" spans="1:45"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row>
    <row r="157" spans="1:45"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row>
    <row r="158" spans="1:45"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row>
    <row r="159" spans="1:45"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row>
    <row r="160" spans="1:45"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row>
    <row r="161" spans="1:45"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row>
    <row r="162" spans="1:45"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row>
    <row r="163" spans="1:45"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row>
    <row r="164" spans="1:45"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row>
    <row r="165" spans="1:45"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row>
    <row r="166" spans="1:45"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row>
    <row r="167" spans="1:45"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row>
    <row r="168" spans="1:45"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row>
    <row r="169" spans="1:45"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row>
    <row r="170" spans="1:45"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row>
    <row r="171" spans="1:45"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row>
    <row r="172" spans="1:45"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row>
    <row r="173" spans="1:45"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row>
    <row r="174" spans="1:45"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row>
    <row r="175" spans="1:45"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row>
    <row r="176" spans="1:45"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row>
    <row r="177" spans="1:45"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row>
    <row r="178" spans="1:45"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row>
    <row r="179" spans="1:45"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row>
    <row r="180" spans="1:45"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row>
    <row r="181" spans="1:45"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row>
    <row r="182" spans="1:45"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row>
    <row r="183" spans="1:45"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row>
    <row r="184" spans="1:45"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row>
    <row r="185" spans="1:45"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row>
    <row r="186" spans="1:45"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row>
    <row r="187" spans="1:45"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row>
    <row r="188" spans="1:45"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row>
    <row r="189" spans="1:45"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row>
    <row r="190" spans="1:45"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row>
    <row r="191" spans="1:45"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row>
    <row r="192" spans="1:45"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row>
    <row r="193" spans="1:45"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row>
    <row r="194" spans="1:45"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row>
    <row r="195" spans="1:45"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row>
    <row r="196" spans="1:45"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row>
    <row r="197" spans="1:45"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row>
  </sheetData>
  <phoneticPr fontId="7"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5">
        <x14:dataValidation type="list" allowBlank="1" showInputMessage="1" showErrorMessage="1" xr:uid="{FD6BDF03-68F7-4C02-8EA5-1616CAA5CB3E}">
          <x14:formula1>
            <xm:f>Categories!$A$3:$A$5</xm:f>
          </x14:formula1>
          <xm:sqref>B2:B14</xm:sqref>
        </x14:dataValidation>
        <x14:dataValidation type="list" allowBlank="1" showInputMessage="1" showErrorMessage="1" xr:uid="{236FF737-962C-461D-A8A5-DC4782122C97}">
          <x14:formula1>
            <xm:f>Categories!$G$3:$G$6</xm:f>
          </x14:formula1>
          <xm:sqref>E2:E14</xm:sqref>
        </x14:dataValidation>
        <x14:dataValidation type="list" allowBlank="1" showInputMessage="1" showErrorMessage="1" xr:uid="{2CD6C16A-86B0-4751-BD7F-BD8654AEBC67}">
          <x14:formula1>
            <xm:f>Categories!$I$18:$I$19</xm:f>
          </x14:formula1>
          <xm:sqref>D2:D10</xm:sqref>
        </x14:dataValidation>
        <x14:dataValidation type="list" allowBlank="1" showInputMessage="1" showErrorMessage="1" xr:uid="{CED67D7D-5CE5-42D1-AC8D-E2183288C931}">
          <x14:formula1>
            <xm:f>Categories!$G$20:$G$21</xm:f>
          </x14:formula1>
          <xm:sqref>C2:D10</xm:sqref>
        </x14:dataValidation>
        <x14:dataValidation type="list" allowBlank="1" showInputMessage="1" showErrorMessage="1" xr:uid="{AC4CBFDC-3726-47F8-8EBF-29896D0E24DA}">
          <x14:formula1>
            <xm:f>Categories!$K$14:$K$15</xm:f>
          </x14:formula1>
          <xm:sqref>H2:H14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64F1F-8766-4A23-98BD-6BB50B6A5599}">
  <sheetPr codeName="Sheet4"/>
  <dimension ref="A1:K34"/>
  <sheetViews>
    <sheetView workbookViewId="0">
      <selection activeCell="L29" sqref="L29"/>
    </sheetView>
  </sheetViews>
  <sheetFormatPr defaultRowHeight="15" x14ac:dyDescent="0.25"/>
  <cols>
    <col min="1" max="1" width="28.42578125" bestFit="1" customWidth="1"/>
    <col min="3" max="3" width="19.5703125" bestFit="1" customWidth="1"/>
    <col min="4" max="4" width="15" bestFit="1" customWidth="1"/>
    <col min="5" max="5" width="18.42578125" customWidth="1"/>
    <col min="7" max="7" width="19.5703125" customWidth="1"/>
    <col min="8" max="8" width="17.85546875" customWidth="1"/>
    <col min="9" max="9" width="17.5703125" customWidth="1"/>
    <col min="10" max="10" width="9.140625" bestFit="1" customWidth="1"/>
    <col min="11" max="11" width="27.85546875" customWidth="1"/>
    <col min="12" max="12" width="23.28515625" customWidth="1"/>
    <col min="13" max="13" width="18" customWidth="1"/>
    <col min="14" max="14" width="21.42578125" customWidth="1"/>
    <col min="16" max="16" width="20.140625" customWidth="1"/>
    <col min="18" max="18" width="27.7109375" customWidth="1"/>
    <col min="20" max="20" width="20.42578125" customWidth="1"/>
    <col min="21" max="21" width="15" bestFit="1" customWidth="1"/>
    <col min="22" max="22" width="10" customWidth="1"/>
  </cols>
  <sheetData>
    <row r="1" spans="1:11" x14ac:dyDescent="0.25">
      <c r="B1" s="120" t="s">
        <v>38</v>
      </c>
      <c r="C1" s="120"/>
    </row>
    <row r="2" spans="1:11" x14ac:dyDescent="0.25">
      <c r="A2" s="15" t="s">
        <v>26</v>
      </c>
      <c r="B2" s="15" t="s">
        <v>33</v>
      </c>
      <c r="C2" s="15" t="s">
        <v>34</v>
      </c>
      <c r="G2" s="12" t="s">
        <v>37</v>
      </c>
      <c r="I2" s="16" t="s">
        <v>43</v>
      </c>
      <c r="J2" s="12" t="s">
        <v>35</v>
      </c>
    </row>
    <row r="3" spans="1:11" x14ac:dyDescent="0.25">
      <c r="A3" t="s">
        <v>30</v>
      </c>
      <c r="B3" s="14">
        <v>400</v>
      </c>
      <c r="C3" s="14">
        <f>B3-(B3*$J$5)</f>
        <v>320</v>
      </c>
      <c r="G3">
        <v>3</v>
      </c>
      <c r="I3" s="17" t="s">
        <v>41</v>
      </c>
      <c r="J3" s="13">
        <v>0.05</v>
      </c>
    </row>
    <row r="4" spans="1:11" x14ac:dyDescent="0.25">
      <c r="A4" t="s">
        <v>31</v>
      </c>
      <c r="B4" s="14">
        <v>275</v>
      </c>
      <c r="C4" s="14">
        <f>B4-(B4*J4)</f>
        <v>233.75</v>
      </c>
      <c r="G4">
        <v>6</v>
      </c>
      <c r="I4" s="18" t="s">
        <v>44</v>
      </c>
      <c r="J4" s="13">
        <v>0.15</v>
      </c>
    </row>
    <row r="5" spans="1:11" x14ac:dyDescent="0.25">
      <c r="A5" t="s">
        <v>32</v>
      </c>
      <c r="B5" s="14">
        <v>200</v>
      </c>
      <c r="C5" s="14">
        <v>200</v>
      </c>
      <c r="G5">
        <v>9</v>
      </c>
      <c r="I5" s="17" t="s">
        <v>42</v>
      </c>
      <c r="J5" s="13">
        <v>0.2</v>
      </c>
    </row>
    <row r="6" spans="1:11" x14ac:dyDescent="0.25">
      <c r="A6" t="s">
        <v>40</v>
      </c>
      <c r="B6" s="14">
        <f>B5+G17</f>
        <v>220</v>
      </c>
      <c r="C6" s="14">
        <f>C5+G17</f>
        <v>220</v>
      </c>
      <c r="G6">
        <v>12</v>
      </c>
    </row>
    <row r="9" spans="1:11" ht="15.75" x14ac:dyDescent="0.25">
      <c r="A9" s="11"/>
    </row>
    <row r="10" spans="1:11" ht="15.75" x14ac:dyDescent="0.25">
      <c r="A10" s="11"/>
    </row>
    <row r="11" spans="1:11" ht="15.75" x14ac:dyDescent="0.25">
      <c r="A11" s="11"/>
    </row>
    <row r="12" spans="1:11" ht="15.75" x14ac:dyDescent="0.25">
      <c r="A12" s="11"/>
    </row>
    <row r="13" spans="1:11" x14ac:dyDescent="0.25">
      <c r="A13" t="s">
        <v>78</v>
      </c>
      <c r="C13" t="s">
        <v>83</v>
      </c>
      <c r="D13" t="s">
        <v>18</v>
      </c>
      <c r="E13" t="s">
        <v>19</v>
      </c>
      <c r="G13" s="15" t="s">
        <v>39</v>
      </c>
      <c r="I13" s="15" t="s">
        <v>36</v>
      </c>
      <c r="K13" t="s">
        <v>72</v>
      </c>
    </row>
    <row r="14" spans="1:11" x14ac:dyDescent="0.25">
      <c r="A14" t="s">
        <v>79</v>
      </c>
      <c r="C14">
        <v>1</v>
      </c>
      <c r="D14" t="s">
        <v>80</v>
      </c>
      <c r="E14" t="s">
        <v>63</v>
      </c>
      <c r="G14">
        <v>40</v>
      </c>
      <c r="I14" s="14">
        <v>5</v>
      </c>
      <c r="K14" t="s">
        <v>73</v>
      </c>
    </row>
    <row r="15" spans="1:11" x14ac:dyDescent="0.25">
      <c r="A15" t="s">
        <v>76</v>
      </c>
      <c r="C15">
        <v>2</v>
      </c>
      <c r="D15" t="s">
        <v>81</v>
      </c>
      <c r="E15" t="s">
        <v>63</v>
      </c>
      <c r="K15" t="s">
        <v>74</v>
      </c>
    </row>
    <row r="16" spans="1:11" x14ac:dyDescent="0.25">
      <c r="C16">
        <v>3</v>
      </c>
      <c r="D16" t="s">
        <v>82</v>
      </c>
      <c r="E16" t="s">
        <v>63</v>
      </c>
      <c r="G16" s="15" t="s">
        <v>47</v>
      </c>
    </row>
    <row r="17" spans="1:9" x14ac:dyDescent="0.25">
      <c r="C17">
        <v>4</v>
      </c>
      <c r="D17" t="s">
        <v>84</v>
      </c>
      <c r="E17" t="s">
        <v>62</v>
      </c>
      <c r="G17" s="14">
        <v>20</v>
      </c>
      <c r="I17" t="s">
        <v>61</v>
      </c>
    </row>
    <row r="18" spans="1:9" x14ac:dyDescent="0.25">
      <c r="C18">
        <v>5</v>
      </c>
      <c r="D18" t="s">
        <v>85</v>
      </c>
      <c r="E18" t="s">
        <v>62</v>
      </c>
      <c r="I18" t="s">
        <v>62</v>
      </c>
    </row>
    <row r="19" spans="1:9" x14ac:dyDescent="0.25">
      <c r="G19" t="s">
        <v>45</v>
      </c>
      <c r="I19" t="s">
        <v>63</v>
      </c>
    </row>
    <row r="20" spans="1:9" x14ac:dyDescent="0.25">
      <c r="G20" t="s">
        <v>33</v>
      </c>
    </row>
    <row r="21" spans="1:9" x14ac:dyDescent="0.25">
      <c r="A21" s="37" t="s">
        <v>8</v>
      </c>
      <c r="C21" t="s">
        <v>96</v>
      </c>
      <c r="D21" t="s">
        <v>97</v>
      </c>
      <c r="G21" t="s">
        <v>46</v>
      </c>
    </row>
    <row r="22" spans="1:9" x14ac:dyDescent="0.25">
      <c r="A22" t="s">
        <v>89</v>
      </c>
      <c r="C22" t="s">
        <v>99</v>
      </c>
      <c r="D22" t="s">
        <v>12</v>
      </c>
    </row>
    <row r="23" spans="1:9" x14ac:dyDescent="0.25">
      <c r="A23" t="s">
        <v>90</v>
      </c>
      <c r="C23" t="s">
        <v>100</v>
      </c>
      <c r="D23" t="s">
        <v>13</v>
      </c>
    </row>
    <row r="24" spans="1:9" x14ac:dyDescent="0.25">
      <c r="A24" t="s">
        <v>91</v>
      </c>
      <c r="C24" t="s">
        <v>101</v>
      </c>
      <c r="D24" t="s">
        <v>16</v>
      </c>
    </row>
    <row r="25" spans="1:9" x14ac:dyDescent="0.25">
      <c r="A25" t="s">
        <v>87</v>
      </c>
    </row>
    <row r="26" spans="1:9" x14ac:dyDescent="0.25">
      <c r="A26" t="s">
        <v>120</v>
      </c>
    </row>
    <row r="32" spans="1:9" ht="15.75" x14ac:dyDescent="0.25">
      <c r="A32" s="11"/>
    </row>
    <row r="33" spans="1:1" ht="15.75" x14ac:dyDescent="0.25">
      <c r="A33" s="11"/>
    </row>
    <row r="34" spans="1:1" ht="15.75" x14ac:dyDescent="0.25">
      <c r="A34" s="11"/>
    </row>
  </sheetData>
  <mergeCells count="1">
    <mergeCell ref="B1:C1"/>
  </mergeCells>
  <pageMargins left="0.7" right="0.7" top="0.75" bottom="0.75" header="0.3" footer="0.3"/>
  <tableParts count="13">
    <tablePart r:id="rId1"/>
    <tablePart r:id="rId2"/>
    <tablePart r:id="rId3"/>
    <tablePart r:id="rId4"/>
    <tablePart r:id="rId5"/>
    <tablePart r:id="rId6"/>
    <tablePart r:id="rId7"/>
    <tablePart r:id="rId8"/>
    <tablePart r:id="rId9"/>
    <tablePart r:id="rId10"/>
    <tablePart r:id="rId11"/>
    <tablePart r:id="rId12"/>
    <tablePart r:id="rId1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Risk Based Assessment</vt:lpstr>
      <vt:lpstr>Test Plan Customer Details</vt:lpstr>
      <vt:lpstr>Test Plan Trade Customer Detail</vt:lpstr>
      <vt:lpstr>Test Plan General Customer</vt:lpstr>
      <vt:lpstr>Test Plan Calculation</vt:lpstr>
      <vt:lpstr>Test Plan for Constants Class</vt:lpstr>
      <vt:lpstr>Test Plan For Imports</vt:lpstr>
      <vt:lpstr>Defect Report</vt:lpstr>
      <vt:lpstr>Screenshots</vt:lpstr>
      <vt:lpstr>Calculate Conditions</vt:lpstr>
      <vt:lpstr>Categories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Ciaran Lynch</dc:creator>
  <cp:lastModifiedBy>Ciaran Lynch</cp:lastModifiedBy>
  <dcterms:created xsi:type="dcterms:W3CDTF">2019-09-05T10:13:48Z</dcterms:created>
  <dcterms:modified xsi:type="dcterms:W3CDTF">2025-12-23T15:14:26Z</dcterms:modified>
</cp:coreProperties>
</file>